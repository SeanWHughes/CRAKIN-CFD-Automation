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an\Desktop\Nemours\Flow_Cell_Parameter_Optimization\EXCEL_PREPROCESSING\"/>
    </mc:Choice>
  </mc:AlternateContent>
  <xr:revisionPtr revIDLastSave="0" documentId="13_ncr:1_{368B1FCB-7CEA-4ECD-8ED0-4471E1BC2E85}" xr6:coauthVersionLast="47" xr6:coauthVersionMax="47" xr10:uidLastSave="{00000000-0000-0000-0000-000000000000}"/>
  <bookViews>
    <workbookView xWindow="-110" yWindow="-110" windowWidth="22620" windowHeight="13500" tabRatio="888" activeTab="1" xr2:uid="{00000000-000D-0000-FFFF-FFFF00000000}"/>
  </bookViews>
  <sheets>
    <sheet name="Creo Input" sheetId="21" r:id="rId1"/>
    <sheet name="WB Output" sheetId="23" r:id="rId2"/>
    <sheet name="RectX" sheetId="1" r:id="rId3"/>
    <sheet name="RectY" sheetId="3" r:id="rId4"/>
    <sheet name="RectZ" sheetId="9" state="hidden" r:id="rId5"/>
    <sheet name="IOX" sheetId="6" r:id="rId6"/>
    <sheet name="ExpSpl" sheetId="8" r:id="rId7"/>
    <sheet name="ExpY" sheetId="5" r:id="rId8"/>
    <sheet name="IOZ" sheetId="7" state="hidden" r:id="rId9"/>
    <sheet name="ExpSpl1" sheetId="11" r:id="rId10"/>
    <sheet name="ExpSpl2" sheetId="12" r:id="rId11"/>
    <sheet name="ExpSpl3" sheetId="13" r:id="rId12"/>
    <sheet name="ExpSpl4" sheetId="14" r:id="rId13"/>
    <sheet name="ExpSpl5" sheetId="22" r:id="rId14"/>
    <sheet name="ExpPar1" sheetId="16" r:id="rId15"/>
    <sheet name="ExpPar2" sheetId="17" r:id="rId16"/>
    <sheet name="ExpPar3" sheetId="18" r:id="rId17"/>
    <sheet name="ExpPar4" sheetId="19" r:id="rId18"/>
  </sheets>
  <definedNames>
    <definedName name="Expansion_SplineGrid_BF" localSheetId="14">ExpPar1!$D$7</definedName>
    <definedName name="Expansion_SplineGrid_BF" localSheetId="15">ExpPar2!$D$7</definedName>
    <definedName name="Expansion_SplineGrid_BF" localSheetId="16">ExpPar3!$D$7</definedName>
    <definedName name="Expansion_SplineGrid_BF" localSheetId="17">ExpPar4!$D$7</definedName>
    <definedName name="Expansion_SplineGrid_BF" localSheetId="9">ExpSpl1!$D$7</definedName>
    <definedName name="Expansion_SplineGrid_BF" localSheetId="10">ExpSpl2!$D$7</definedName>
    <definedName name="Expansion_SplineGrid_BF" localSheetId="11">ExpSpl3!$D$7</definedName>
    <definedName name="Expansion_SplineGrid_BF" localSheetId="12">ExpSpl4!$D$7</definedName>
    <definedName name="Expansion_SplineGrid_BF" localSheetId="13">ExpSpl5!$D$7</definedName>
    <definedName name="Expansion_SplineGrid_BF">ExpSpl!$D$7</definedName>
    <definedName name="Expansion_SplineGrid_EdgeLength" localSheetId="14">ExpPar1!$D$3</definedName>
    <definedName name="Expansion_SplineGrid_EdgeLength" localSheetId="15">ExpPar2!$D$3</definedName>
    <definedName name="Expansion_SplineGrid_EdgeLength" localSheetId="16">ExpPar3!$D$3</definedName>
    <definedName name="Expansion_SplineGrid_EdgeLength" localSheetId="17">ExpPar4!$D$3</definedName>
    <definedName name="Expansion_SplineGrid_EdgeLength" localSheetId="9">ExpSpl1!$D$3</definedName>
    <definedName name="Expansion_SplineGrid_EdgeLength" localSheetId="10">ExpSpl2!$D$3</definedName>
    <definedName name="Expansion_SplineGrid_EdgeLength" localSheetId="11">ExpSpl3!$D$3</definedName>
    <definedName name="Expansion_SplineGrid_EdgeLength" localSheetId="12">ExpSpl4!$D$3</definedName>
    <definedName name="Expansion_SplineGrid_EdgeLength" localSheetId="13">ExpSpl5!$D$3</definedName>
    <definedName name="Expansion_SplineGrid_EdgeLength">ExpSpl!$D$3</definedName>
    <definedName name="Expansion_SplineGrid_NDiv" localSheetId="14">ExpPar1!$D$5</definedName>
    <definedName name="Expansion_SplineGrid_NDiv" localSheetId="15">ExpPar2!$D$5</definedName>
    <definedName name="Expansion_SplineGrid_NDiv" localSheetId="16">ExpPar3!$D$5</definedName>
    <definedName name="Expansion_SplineGrid_NDiv" localSheetId="17">ExpPar4!$D$5</definedName>
    <definedName name="Expansion_SplineGrid_NDiv" localSheetId="9">ExpSpl1!$D$5</definedName>
    <definedName name="Expansion_SplineGrid_NDiv" localSheetId="10">ExpSpl2!$D$5</definedName>
    <definedName name="Expansion_SplineGrid_NDiv" localSheetId="11">ExpSpl3!$D$5</definedName>
    <definedName name="Expansion_SplineGrid_NDiv" localSheetId="12">ExpSpl4!$D$5</definedName>
    <definedName name="Expansion_SplineGrid_NDiv" localSheetId="13">ExpSpl5!$D$5</definedName>
    <definedName name="Expansion_SplineGrid_NDiv">ExpSpl!$D$5</definedName>
    <definedName name="Expansion_YGrid_BF">ExpY!$D$7</definedName>
    <definedName name="Expansion_YGrid_EdgeLength">ExpY!$D$3</definedName>
    <definedName name="Expansion_YGrid_NDiv">ExpY!$D$5</definedName>
    <definedName name="IO_XGrid_BF">IOX!$D$7</definedName>
    <definedName name="IO_XGrid_EdgeLength">IOX!$D$3</definedName>
    <definedName name="IO_XGrid_NDiv">IOX!$D$5</definedName>
    <definedName name="IO_ZGrid_BF">IOZ!$D$7</definedName>
    <definedName name="IO_ZGrid_EdgeLength">IOZ!$D$3</definedName>
    <definedName name="IO_ZGrid_NDiv">IOZ!$D$5</definedName>
    <definedName name="Rect_Exp_Boundary_ElementSize">ExpY!$D$21</definedName>
    <definedName name="Rect_Exp_Boundary_ElementSize2" localSheetId="14">ExpPar1!$D$21</definedName>
    <definedName name="Rect_Exp_Boundary_ElementSize2" localSheetId="15">ExpPar2!$D$21</definedName>
    <definedName name="Rect_Exp_Boundary_ElementSize2" localSheetId="16">ExpPar3!$D$21</definedName>
    <definedName name="Rect_Exp_Boundary_ElementSize2" localSheetId="17">ExpPar4!$D$21</definedName>
    <definedName name="Rect_Exp_Boundary_ElementSize2" localSheetId="9">ExpSpl1!$D$21</definedName>
    <definedName name="Rect_Exp_Boundary_ElementSize2" localSheetId="10">ExpSpl2!$D$21</definedName>
    <definedName name="Rect_Exp_Boundary_ElementSize2" localSheetId="11">ExpSpl3!$D$21</definedName>
    <definedName name="Rect_Exp_Boundary_ElementSize2" localSheetId="12">ExpSpl4!$D$21</definedName>
    <definedName name="Rect_Exp_Boundary_ElementSize2" localSheetId="13">ExpSpl5!$D$21</definedName>
    <definedName name="Rect_Exp_Boundary_ElementSize2">ExpSpl!$D$21</definedName>
    <definedName name="Rectangle_XGrid_BF">RectX!$D$7</definedName>
    <definedName name="Rectangle_XGrid_EdgeLength">RectX!$D$3</definedName>
    <definedName name="Rectangle_XGrid_NDiv">RectX!$D$5</definedName>
    <definedName name="Rectangle_YGrid_BF">RectY!$D$7</definedName>
    <definedName name="Rectangle_YGrid_EdgeLength">RectY!$D$3</definedName>
    <definedName name="Rectangle_YGrid_NDiv">RectY!$D$5</definedName>
    <definedName name="Rectangle_ZGrid_BF">RectZ!$D$7</definedName>
    <definedName name="Rectangle_ZGrid_EdgeLength">RectZ!$D$3</definedName>
    <definedName name="Rectangle_ZGrid_NDiv">RectZ!$D$5</definedName>
    <definedName name="Round_Exp_Boundary_ElementSize">IOX!$D$21</definedName>
    <definedName name="Round_Rect_Boundary_ElementSize">RectX!$D$21</definedName>
    <definedName name="solver_adj" localSheetId="14" hidden="1">ExpPar1!$D$7</definedName>
    <definedName name="solver_adj" localSheetId="15" hidden="1">ExpPar2!$D$7</definedName>
    <definedName name="solver_adj" localSheetId="16" hidden="1">ExpPar3!$D$7</definedName>
    <definedName name="solver_adj" localSheetId="17" hidden="1">ExpPar4!$D$7</definedName>
    <definedName name="solver_adj" localSheetId="6" hidden="1">ExpSpl!$D$7</definedName>
    <definedName name="solver_adj" localSheetId="9" hidden="1">ExpSpl1!$D$7</definedName>
    <definedName name="solver_adj" localSheetId="11" hidden="1">ExpSpl3!$D$7</definedName>
    <definedName name="solver_adj" localSheetId="12" hidden="1">ExpSpl4!$D$7</definedName>
    <definedName name="solver_adj" localSheetId="13" hidden="1">ExpSpl5!$D$7</definedName>
    <definedName name="solver_adj" localSheetId="7" hidden="1">ExpY!$D$7</definedName>
    <definedName name="solver_adj" localSheetId="5" hidden="1">IOX!$D$7</definedName>
    <definedName name="solver_adj" localSheetId="2" hidden="1">RectX!$D$7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6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7" hidden="1">0.0001</definedName>
    <definedName name="solver_cvg" localSheetId="5" hidden="1">0.0001</definedName>
    <definedName name="solver_cvg" localSheetId="8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6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7" hidden="1">1</definedName>
    <definedName name="solver_drv" localSheetId="5" hidden="1">1</definedName>
    <definedName name="solver_drv" localSheetId="8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eng" localSheetId="0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6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7" hidden="1">1</definedName>
    <definedName name="solver_eng" localSheetId="5" hidden="1">1</definedName>
    <definedName name="solver_eng" localSheetId="8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1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6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7" hidden="1">1</definedName>
    <definedName name="solver_est" localSheetId="5" hidden="1">1</definedName>
    <definedName name="solver_est" localSheetId="8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6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7" hidden="1">2147483647</definedName>
    <definedName name="solver_itr" localSheetId="5" hidden="1">2147483647</definedName>
    <definedName name="solver_itr" localSheetId="8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hs1" localSheetId="14" hidden="1">ExpPar1!$D$7</definedName>
    <definedName name="solver_lhs1" localSheetId="15" hidden="1">ExpPar2!$D$7</definedName>
    <definedName name="solver_lhs1" localSheetId="16" hidden="1">ExpPar3!$D$7</definedName>
    <definedName name="solver_lhs1" localSheetId="17" hidden="1">ExpPar4!$D$7</definedName>
    <definedName name="solver_lhs1" localSheetId="6" hidden="1">ExpSpl!$D$7</definedName>
    <definedName name="solver_lhs1" localSheetId="9" hidden="1">ExpSpl1!$D$7</definedName>
    <definedName name="solver_lhs1" localSheetId="10" hidden="1">ExpSpl2!$D$7</definedName>
    <definedName name="solver_lhs1" localSheetId="11" hidden="1">ExpSpl3!$D$7</definedName>
    <definedName name="solver_lhs1" localSheetId="12" hidden="1">ExpSpl4!$D$7</definedName>
    <definedName name="solver_lhs1" localSheetId="13" hidden="1">ExpSpl5!$D$7</definedName>
    <definedName name="solver_lhs1" localSheetId="7" hidden="1">ExpY!$D$11</definedName>
    <definedName name="solver_lhs1" localSheetId="5" hidden="1">IOX!$D$11</definedName>
    <definedName name="solver_lhs1" localSheetId="2" hidden="1">RectX!$D$7</definedName>
    <definedName name="solver_lhs1" localSheetId="3" hidden="1">RectY!$D$7</definedName>
    <definedName name="solver_lhs10" localSheetId="14" hidden="1">ExpPar1!$D$7</definedName>
    <definedName name="solver_lhs10" localSheetId="15" hidden="1">ExpPar2!$D$7</definedName>
    <definedName name="solver_lhs10" localSheetId="16" hidden="1">ExpPar3!$D$7</definedName>
    <definedName name="solver_lhs10" localSheetId="17" hidden="1">ExpPar4!$D$7</definedName>
    <definedName name="solver_lhs10" localSheetId="6" hidden="1">ExpSpl!$D$7</definedName>
    <definedName name="solver_lhs10" localSheetId="9" hidden="1">ExpSpl1!$D$7</definedName>
    <definedName name="solver_lhs10" localSheetId="10" hidden="1">ExpSpl2!$D$7</definedName>
    <definedName name="solver_lhs10" localSheetId="11" hidden="1">ExpSpl3!$D$7</definedName>
    <definedName name="solver_lhs10" localSheetId="12" hidden="1">ExpSpl4!$D$7</definedName>
    <definedName name="solver_lhs10" localSheetId="13" hidden="1">ExpSpl5!$D$7</definedName>
    <definedName name="solver_lhs10" localSheetId="7" hidden="1">ExpY!$D$7</definedName>
    <definedName name="solver_lhs10" localSheetId="5" hidden="1">IOX!$D$7</definedName>
    <definedName name="solver_lhs10" localSheetId="2" hidden="1">RectX!$D$7</definedName>
    <definedName name="solver_lhs100" localSheetId="5" hidden="1">IOX!$D$7</definedName>
    <definedName name="solver_lhs101" localSheetId="5" hidden="1">IOX!$D$7</definedName>
    <definedName name="solver_lhs102" localSheetId="5" hidden="1">IOX!$D$11</definedName>
    <definedName name="solver_lhs103" localSheetId="5" hidden="1">IOX!$D$7</definedName>
    <definedName name="solver_lhs104" localSheetId="5" hidden="1">IOX!$D$7</definedName>
    <definedName name="solver_lhs105" localSheetId="5" hidden="1">IOX!$D$11</definedName>
    <definedName name="solver_lhs106" localSheetId="5" hidden="1">IOX!$D$7</definedName>
    <definedName name="solver_lhs107" localSheetId="5" hidden="1">IOX!$D$7</definedName>
    <definedName name="solver_lhs108" localSheetId="5" hidden="1">IOX!$D$11</definedName>
    <definedName name="solver_lhs11" localSheetId="14" hidden="1">ExpPar1!$D$7</definedName>
    <definedName name="solver_lhs11" localSheetId="15" hidden="1">ExpPar2!$D$7</definedName>
    <definedName name="solver_lhs11" localSheetId="16" hidden="1">ExpPar3!$D$7</definedName>
    <definedName name="solver_lhs11" localSheetId="17" hidden="1">ExpPar4!$D$7</definedName>
    <definedName name="solver_lhs11" localSheetId="6" hidden="1">ExpSpl!$D$7</definedName>
    <definedName name="solver_lhs11" localSheetId="9" hidden="1">ExpSpl1!$D$7</definedName>
    <definedName name="solver_lhs11" localSheetId="10" hidden="1">ExpSpl2!$D$7</definedName>
    <definedName name="solver_lhs11" localSheetId="11" hidden="1">ExpSpl3!$D$7</definedName>
    <definedName name="solver_lhs11" localSheetId="12" hidden="1">ExpSpl4!$D$7</definedName>
    <definedName name="solver_lhs11" localSheetId="13" hidden="1">ExpSpl5!$D$7</definedName>
    <definedName name="solver_lhs11" localSheetId="7" hidden="1">ExpY!$D$7</definedName>
    <definedName name="solver_lhs11" localSheetId="5" hidden="1">IOX!$D$7</definedName>
    <definedName name="solver_lhs11" localSheetId="2" hidden="1">RectX!$D$7</definedName>
    <definedName name="solver_lhs12" localSheetId="14" hidden="1">ExpPar1!$D$11</definedName>
    <definedName name="solver_lhs12" localSheetId="15" hidden="1">ExpPar2!$D$11</definedName>
    <definedName name="solver_lhs12" localSheetId="16" hidden="1">ExpPar3!$D$11</definedName>
    <definedName name="solver_lhs12" localSheetId="17" hidden="1">ExpPar4!$D$11</definedName>
    <definedName name="solver_lhs12" localSheetId="6" hidden="1">ExpSpl!$D$11</definedName>
    <definedName name="solver_lhs12" localSheetId="9" hidden="1">ExpSpl1!$D$11</definedName>
    <definedName name="solver_lhs12" localSheetId="10" hidden="1">ExpSpl2!$D$11</definedName>
    <definedName name="solver_lhs12" localSheetId="11" hidden="1">ExpSpl3!$D$11</definedName>
    <definedName name="solver_lhs12" localSheetId="12" hidden="1">ExpSpl4!$D$11</definedName>
    <definedName name="solver_lhs12" localSheetId="13" hidden="1">ExpSpl5!$D$11</definedName>
    <definedName name="solver_lhs12" localSheetId="7" hidden="1">ExpY!$D$11</definedName>
    <definedName name="solver_lhs12" localSheetId="5" hidden="1">IOX!$D$11</definedName>
    <definedName name="solver_lhs12" localSheetId="2" hidden="1">RectX!$D$11</definedName>
    <definedName name="solver_lhs13" localSheetId="14" hidden="1">ExpPar1!$D$7</definedName>
    <definedName name="solver_lhs13" localSheetId="15" hidden="1">ExpPar2!$D$7</definedName>
    <definedName name="solver_lhs13" localSheetId="16" hidden="1">ExpPar3!$D$7</definedName>
    <definedName name="solver_lhs13" localSheetId="17" hidden="1">ExpPar4!$D$7</definedName>
    <definedName name="solver_lhs13" localSheetId="6" hidden="1">ExpSpl!$D$7</definedName>
    <definedName name="solver_lhs13" localSheetId="9" hidden="1">ExpSpl1!$D$7</definedName>
    <definedName name="solver_lhs13" localSheetId="10" hidden="1">ExpSpl2!$D$7</definedName>
    <definedName name="solver_lhs13" localSheetId="11" hidden="1">ExpSpl3!$D$7</definedName>
    <definedName name="solver_lhs13" localSheetId="12" hidden="1">ExpSpl4!$D$7</definedName>
    <definedName name="solver_lhs13" localSheetId="13" hidden="1">ExpSpl5!$D$7</definedName>
    <definedName name="solver_lhs13" localSheetId="7" hidden="1">ExpY!$D$7</definedName>
    <definedName name="solver_lhs13" localSheetId="5" hidden="1">IOX!$D$7</definedName>
    <definedName name="solver_lhs13" localSheetId="2" hidden="1">RectX!$D$7</definedName>
    <definedName name="solver_lhs14" localSheetId="14" hidden="1">ExpPar1!$D$7</definedName>
    <definedName name="solver_lhs14" localSheetId="15" hidden="1">ExpPar2!$D$7</definedName>
    <definedName name="solver_lhs14" localSheetId="16" hidden="1">ExpPar3!$D$7</definedName>
    <definedName name="solver_lhs14" localSheetId="17" hidden="1">ExpPar4!$D$7</definedName>
    <definedName name="solver_lhs14" localSheetId="6" hidden="1">ExpSpl!$D$7</definedName>
    <definedName name="solver_lhs14" localSheetId="9" hidden="1">ExpSpl1!$D$7</definedName>
    <definedName name="solver_lhs14" localSheetId="10" hidden="1">ExpSpl2!$D$7</definedName>
    <definedName name="solver_lhs14" localSheetId="11" hidden="1">ExpSpl3!$D$7</definedName>
    <definedName name="solver_lhs14" localSheetId="12" hidden="1">ExpSpl4!$D$7</definedName>
    <definedName name="solver_lhs14" localSheetId="13" hidden="1">ExpSpl5!$D$7</definedName>
    <definedName name="solver_lhs14" localSheetId="7" hidden="1">ExpY!$D$7</definedName>
    <definedName name="solver_lhs14" localSheetId="5" hidden="1">IOX!$D$7</definedName>
    <definedName name="solver_lhs14" localSheetId="2" hidden="1">RectX!$D$7</definedName>
    <definedName name="solver_lhs15" localSheetId="14" hidden="1">ExpPar1!$D$11</definedName>
    <definedName name="solver_lhs15" localSheetId="15" hidden="1">ExpPar2!$D$11</definedName>
    <definedName name="solver_lhs15" localSheetId="16" hidden="1">ExpPar3!$D$11</definedName>
    <definedName name="solver_lhs15" localSheetId="17" hidden="1">ExpPar4!$D$11</definedName>
    <definedName name="solver_lhs15" localSheetId="6" hidden="1">ExpSpl!$D$11</definedName>
    <definedName name="solver_lhs15" localSheetId="9" hidden="1">ExpSpl1!$D$11</definedName>
    <definedName name="solver_lhs15" localSheetId="10" hidden="1">ExpSpl2!$D$11</definedName>
    <definedName name="solver_lhs15" localSheetId="11" hidden="1">ExpSpl3!$D$11</definedName>
    <definedName name="solver_lhs15" localSheetId="12" hidden="1">ExpSpl4!$D$11</definedName>
    <definedName name="solver_lhs15" localSheetId="13" hidden="1">ExpSpl5!$D$11</definedName>
    <definedName name="solver_lhs15" localSheetId="7" hidden="1">ExpY!$D$11</definedName>
    <definedName name="solver_lhs15" localSheetId="5" hidden="1">IOX!$D$11</definedName>
    <definedName name="solver_lhs15" localSheetId="2" hidden="1">RectX!$D$11</definedName>
    <definedName name="solver_lhs16" localSheetId="14" hidden="1">ExpPar1!$D$7</definedName>
    <definedName name="solver_lhs16" localSheetId="15" hidden="1">ExpPar2!$D$7</definedName>
    <definedName name="solver_lhs16" localSheetId="16" hidden="1">ExpPar3!$D$7</definedName>
    <definedName name="solver_lhs16" localSheetId="17" hidden="1">ExpPar4!$D$7</definedName>
    <definedName name="solver_lhs16" localSheetId="6" hidden="1">ExpSpl!$D$7</definedName>
    <definedName name="solver_lhs16" localSheetId="10" hidden="1">ExpSpl2!$D$7</definedName>
    <definedName name="solver_lhs16" localSheetId="11" hidden="1">ExpSpl3!$D$7</definedName>
    <definedName name="solver_lhs16" localSheetId="12" hidden="1">ExpSpl4!$D$7</definedName>
    <definedName name="solver_lhs16" localSheetId="13" hidden="1">ExpSpl5!$D$7</definedName>
    <definedName name="solver_lhs16" localSheetId="7" hidden="1">ExpY!$D$7</definedName>
    <definedName name="solver_lhs16" localSheetId="5" hidden="1">IOX!$D$7</definedName>
    <definedName name="solver_lhs16" localSheetId="2" hidden="1">RectX!$D$7</definedName>
    <definedName name="solver_lhs17" localSheetId="14" hidden="1">ExpPar1!$D$7</definedName>
    <definedName name="solver_lhs17" localSheetId="15" hidden="1">ExpPar2!$D$7</definedName>
    <definedName name="solver_lhs17" localSheetId="16" hidden="1">ExpPar3!$D$7</definedName>
    <definedName name="solver_lhs17" localSheetId="17" hidden="1">ExpPar4!$D$7</definedName>
    <definedName name="solver_lhs17" localSheetId="6" hidden="1">ExpSpl!$D$7</definedName>
    <definedName name="solver_lhs17" localSheetId="10" hidden="1">ExpSpl2!$D$7</definedName>
    <definedName name="solver_lhs17" localSheetId="11" hidden="1">ExpSpl3!$D$7</definedName>
    <definedName name="solver_lhs17" localSheetId="12" hidden="1">ExpSpl4!$D$7</definedName>
    <definedName name="solver_lhs17" localSheetId="13" hidden="1">ExpSpl5!$D$7</definedName>
    <definedName name="solver_lhs17" localSheetId="7" hidden="1">ExpY!$D$7</definedName>
    <definedName name="solver_lhs17" localSheetId="5" hidden="1">IOX!$D$7</definedName>
    <definedName name="solver_lhs17" localSheetId="2" hidden="1">RectX!$D$7</definedName>
    <definedName name="solver_lhs18" localSheetId="14" hidden="1">ExpPar1!$D$11</definedName>
    <definedName name="solver_lhs18" localSheetId="15" hidden="1">ExpPar2!$D$11</definedName>
    <definedName name="solver_lhs18" localSheetId="16" hidden="1">ExpPar3!$D$11</definedName>
    <definedName name="solver_lhs18" localSheetId="17" hidden="1">ExpPar4!$D$11</definedName>
    <definedName name="solver_lhs18" localSheetId="6" hidden="1">ExpSpl!$D$11</definedName>
    <definedName name="solver_lhs18" localSheetId="10" hidden="1">ExpSpl2!$D$11</definedName>
    <definedName name="solver_lhs18" localSheetId="11" hidden="1">ExpSpl3!$D$11</definedName>
    <definedName name="solver_lhs18" localSheetId="12" hidden="1">ExpSpl4!$D$11</definedName>
    <definedName name="solver_lhs18" localSheetId="13" hidden="1">ExpSpl5!$D$11</definedName>
    <definedName name="solver_lhs18" localSheetId="7" hidden="1">ExpY!$D$11</definedName>
    <definedName name="solver_lhs18" localSheetId="5" hidden="1">IOX!$D$11</definedName>
    <definedName name="solver_lhs18" localSheetId="2" hidden="1">RectX!$D$11</definedName>
    <definedName name="solver_lhs19" localSheetId="14" hidden="1">ExpPar1!$D$7</definedName>
    <definedName name="solver_lhs19" localSheetId="15" hidden="1">ExpPar2!$D$7</definedName>
    <definedName name="solver_lhs19" localSheetId="16" hidden="1">ExpPar3!$D$7</definedName>
    <definedName name="solver_lhs19" localSheetId="17" hidden="1">ExpPar4!$D$7</definedName>
    <definedName name="solver_lhs19" localSheetId="6" hidden="1">ExpSpl!$D$7</definedName>
    <definedName name="solver_lhs19" localSheetId="10" hidden="1">ExpSpl2!$D$7</definedName>
    <definedName name="solver_lhs19" localSheetId="11" hidden="1">ExpSpl3!$D$7</definedName>
    <definedName name="solver_lhs19" localSheetId="12" hidden="1">ExpSpl4!$D$7</definedName>
    <definedName name="solver_lhs19" localSheetId="13" hidden="1">ExpSpl5!$D$7</definedName>
    <definedName name="solver_lhs19" localSheetId="7" hidden="1">ExpY!$D$7</definedName>
    <definedName name="solver_lhs19" localSheetId="5" hidden="1">IOX!$D$7</definedName>
    <definedName name="solver_lhs19" localSheetId="2" hidden="1">RectX!$D$7</definedName>
    <definedName name="solver_lhs2" localSheetId="14" hidden="1">ExpPar1!$D$7</definedName>
    <definedName name="solver_lhs2" localSheetId="15" hidden="1">ExpPar2!$D$7</definedName>
    <definedName name="solver_lhs2" localSheetId="16" hidden="1">ExpPar3!$D$7</definedName>
    <definedName name="solver_lhs2" localSheetId="17" hidden="1">ExpPar4!$D$7</definedName>
    <definedName name="solver_lhs2" localSheetId="6" hidden="1">ExpSpl!$D$7</definedName>
    <definedName name="solver_lhs2" localSheetId="9" hidden="1">ExpSpl1!$D$7</definedName>
    <definedName name="solver_lhs2" localSheetId="10" hidden="1">ExpSpl2!$D$7</definedName>
    <definedName name="solver_lhs2" localSheetId="11" hidden="1">ExpSpl3!$D$7</definedName>
    <definedName name="solver_lhs2" localSheetId="12" hidden="1">ExpSpl4!$D$7</definedName>
    <definedName name="solver_lhs2" localSheetId="13" hidden="1">ExpSpl5!$D$7</definedName>
    <definedName name="solver_lhs2" localSheetId="7" hidden="1">ExpY!$D$7</definedName>
    <definedName name="solver_lhs2" localSheetId="5" hidden="1">IOX!$D$11</definedName>
    <definedName name="solver_lhs2" localSheetId="2" hidden="1">RectX!$D$7</definedName>
    <definedName name="solver_lhs2" localSheetId="3" hidden="1">RectY!$D$7</definedName>
    <definedName name="solver_lhs20" localSheetId="14" hidden="1">ExpPar1!$D$7</definedName>
    <definedName name="solver_lhs20" localSheetId="15" hidden="1">ExpPar2!$D$7</definedName>
    <definedName name="solver_lhs20" localSheetId="16" hidden="1">ExpPar3!$D$7</definedName>
    <definedName name="solver_lhs20" localSheetId="17" hidden="1">ExpPar4!$D$7</definedName>
    <definedName name="solver_lhs20" localSheetId="6" hidden="1">ExpSpl!$D$7</definedName>
    <definedName name="solver_lhs20" localSheetId="10" hidden="1">ExpSpl2!$D$7</definedName>
    <definedName name="solver_lhs20" localSheetId="11" hidden="1">ExpSpl3!$D$7</definedName>
    <definedName name="solver_lhs20" localSheetId="12" hidden="1">ExpSpl4!$D$7</definedName>
    <definedName name="solver_lhs20" localSheetId="13" hidden="1">ExpSpl5!$D$7</definedName>
    <definedName name="solver_lhs20" localSheetId="7" hidden="1">ExpY!$D$7</definedName>
    <definedName name="solver_lhs20" localSheetId="5" hidden="1">IOX!$D$7</definedName>
    <definedName name="solver_lhs20" localSheetId="2" hidden="1">RectX!$D$7</definedName>
    <definedName name="solver_lhs21" localSheetId="14" hidden="1">ExpPar1!$D$11</definedName>
    <definedName name="solver_lhs21" localSheetId="15" hidden="1">ExpPar2!$D$11</definedName>
    <definedName name="solver_lhs21" localSheetId="16" hidden="1">ExpPar3!$D$11</definedName>
    <definedName name="solver_lhs21" localSheetId="17" hidden="1">ExpPar4!$D$11</definedName>
    <definedName name="solver_lhs21" localSheetId="6" hidden="1">ExpSpl!$D$11</definedName>
    <definedName name="solver_lhs21" localSheetId="10" hidden="1">ExpSpl2!$D$11</definedName>
    <definedName name="solver_lhs21" localSheetId="11" hidden="1">ExpSpl3!$D$11</definedName>
    <definedName name="solver_lhs21" localSheetId="12" hidden="1">ExpSpl4!$D$11</definedName>
    <definedName name="solver_lhs21" localSheetId="13" hidden="1">ExpSpl5!$D$11</definedName>
    <definedName name="solver_lhs21" localSheetId="7" hidden="1">ExpY!$D$11</definedName>
    <definedName name="solver_lhs21" localSheetId="5" hidden="1">IOX!$D$11</definedName>
    <definedName name="solver_lhs21" localSheetId="2" hidden="1">RectX!$D$11</definedName>
    <definedName name="solver_lhs22" localSheetId="14" hidden="1">ExpPar1!$D$7</definedName>
    <definedName name="solver_lhs22" localSheetId="15" hidden="1">ExpPar2!$D$7</definedName>
    <definedName name="solver_lhs22" localSheetId="16" hidden="1">ExpPar3!$D$7</definedName>
    <definedName name="solver_lhs22" localSheetId="17" hidden="1">ExpPar4!$D$7</definedName>
    <definedName name="solver_lhs22" localSheetId="6" hidden="1">ExpSpl!$D$7</definedName>
    <definedName name="solver_lhs22" localSheetId="10" hidden="1">ExpSpl2!$D$7</definedName>
    <definedName name="solver_lhs22" localSheetId="11" hidden="1">ExpSpl3!$D$7</definedName>
    <definedName name="solver_lhs22" localSheetId="12" hidden="1">ExpSpl4!$D$7</definedName>
    <definedName name="solver_lhs22" localSheetId="13" hidden="1">ExpSpl5!$D$7</definedName>
    <definedName name="solver_lhs22" localSheetId="7" hidden="1">ExpY!$D$7</definedName>
    <definedName name="solver_lhs22" localSheetId="5" hidden="1">IOX!$D$7</definedName>
    <definedName name="solver_lhs22" localSheetId="2" hidden="1">RectX!$D$7</definedName>
    <definedName name="solver_lhs23" localSheetId="14" hidden="1">ExpPar1!$D$7</definedName>
    <definedName name="solver_lhs23" localSheetId="15" hidden="1">ExpPar2!$D$7</definedName>
    <definedName name="solver_lhs23" localSheetId="16" hidden="1">ExpPar3!$D$7</definedName>
    <definedName name="solver_lhs23" localSheetId="17" hidden="1">ExpPar4!$D$7</definedName>
    <definedName name="solver_lhs23" localSheetId="6" hidden="1">ExpSpl!$D$7</definedName>
    <definedName name="solver_lhs23" localSheetId="10" hidden="1">ExpSpl2!$D$7</definedName>
    <definedName name="solver_lhs23" localSheetId="11" hidden="1">ExpSpl3!$D$7</definedName>
    <definedName name="solver_lhs23" localSheetId="12" hidden="1">ExpSpl4!$D$7</definedName>
    <definedName name="solver_lhs23" localSheetId="13" hidden="1">ExpSpl5!$D$7</definedName>
    <definedName name="solver_lhs23" localSheetId="7" hidden="1">ExpY!$D$7</definedName>
    <definedName name="solver_lhs23" localSheetId="5" hidden="1">IOX!$D$7</definedName>
    <definedName name="solver_lhs23" localSheetId="2" hidden="1">RectX!$D$7</definedName>
    <definedName name="solver_lhs24" localSheetId="14" hidden="1">ExpPar1!$D$11</definedName>
    <definedName name="solver_lhs24" localSheetId="15" hidden="1">ExpPar2!$D$11</definedName>
    <definedName name="solver_lhs24" localSheetId="16" hidden="1">ExpPar3!$D$11</definedName>
    <definedName name="solver_lhs24" localSheetId="17" hidden="1">ExpPar4!$D$11</definedName>
    <definedName name="solver_lhs24" localSheetId="6" hidden="1">ExpSpl!$D$11</definedName>
    <definedName name="solver_lhs24" localSheetId="10" hidden="1">ExpSpl2!$D$11</definedName>
    <definedName name="solver_lhs24" localSheetId="11" hidden="1">ExpSpl3!$D$11</definedName>
    <definedName name="solver_lhs24" localSheetId="12" hidden="1">ExpSpl4!$D$11</definedName>
    <definedName name="solver_lhs24" localSheetId="13" hidden="1">ExpSpl5!$D$11</definedName>
    <definedName name="solver_lhs24" localSheetId="7" hidden="1">ExpY!$D$11</definedName>
    <definedName name="solver_lhs24" localSheetId="5" hidden="1">IOX!$D$11</definedName>
    <definedName name="solver_lhs24" localSheetId="2" hidden="1">RectX!$D$11</definedName>
    <definedName name="solver_lhs25" localSheetId="14" hidden="1">ExpPar1!$D$7</definedName>
    <definedName name="solver_lhs25" localSheetId="15" hidden="1">ExpPar2!$D$7</definedName>
    <definedName name="solver_lhs25" localSheetId="16" hidden="1">ExpPar3!$D$7</definedName>
    <definedName name="solver_lhs25" localSheetId="17" hidden="1">ExpPar4!$D$7</definedName>
    <definedName name="solver_lhs25" localSheetId="6" hidden="1">ExpSpl!$D$7</definedName>
    <definedName name="solver_lhs25" localSheetId="11" hidden="1">ExpSpl3!$D$7</definedName>
    <definedName name="solver_lhs25" localSheetId="12" hidden="1">ExpSpl4!$D$7</definedName>
    <definedName name="solver_lhs25" localSheetId="13" hidden="1">ExpSpl5!$D$7</definedName>
    <definedName name="solver_lhs25" localSheetId="7" hidden="1">ExpY!$D$7</definedName>
    <definedName name="solver_lhs25" localSheetId="5" hidden="1">IOX!$D$7</definedName>
    <definedName name="solver_lhs25" localSheetId="2" hidden="1">RectX!$D$7</definedName>
    <definedName name="solver_lhs26" localSheetId="14" hidden="1">ExpPar1!$D$7</definedName>
    <definedName name="solver_lhs26" localSheetId="15" hidden="1">ExpPar2!$D$7</definedName>
    <definedName name="solver_lhs26" localSheetId="16" hidden="1">ExpPar3!$D$7</definedName>
    <definedName name="solver_lhs26" localSheetId="17" hidden="1">ExpPar4!$D$7</definedName>
    <definedName name="solver_lhs26" localSheetId="6" hidden="1">ExpSpl!$D$7</definedName>
    <definedName name="solver_lhs26" localSheetId="11" hidden="1">ExpSpl3!$D$7</definedName>
    <definedName name="solver_lhs26" localSheetId="12" hidden="1">ExpSpl4!$D$7</definedName>
    <definedName name="solver_lhs26" localSheetId="13" hidden="1">ExpSpl5!$D$7</definedName>
    <definedName name="solver_lhs26" localSheetId="7" hidden="1">ExpY!$D$7</definedName>
    <definedName name="solver_lhs26" localSheetId="5" hidden="1">IOX!$D$7</definedName>
    <definedName name="solver_lhs26" localSheetId="2" hidden="1">RectX!$D$7</definedName>
    <definedName name="solver_lhs27" localSheetId="14" hidden="1">ExpPar1!$D$11</definedName>
    <definedName name="solver_lhs27" localSheetId="15" hidden="1">ExpPar2!$D$11</definedName>
    <definedName name="solver_lhs27" localSheetId="16" hidden="1">ExpPar3!$D$11</definedName>
    <definedName name="solver_lhs27" localSheetId="17" hidden="1">ExpPar4!$D$11</definedName>
    <definedName name="solver_lhs27" localSheetId="6" hidden="1">ExpSpl!$D$11</definedName>
    <definedName name="solver_lhs27" localSheetId="11" hidden="1">ExpSpl3!$D$11</definedName>
    <definedName name="solver_lhs27" localSheetId="12" hidden="1">ExpSpl4!$D$11</definedName>
    <definedName name="solver_lhs27" localSheetId="13" hidden="1">ExpSpl5!$D$11</definedName>
    <definedName name="solver_lhs27" localSheetId="7" hidden="1">ExpY!$D$11</definedName>
    <definedName name="solver_lhs27" localSheetId="5" hidden="1">IOX!$D$11</definedName>
    <definedName name="solver_lhs27" localSheetId="2" hidden="1">RectX!$D$11</definedName>
    <definedName name="solver_lhs28" localSheetId="14" hidden="1">ExpPar1!$D$7</definedName>
    <definedName name="solver_lhs28" localSheetId="15" hidden="1">ExpPar2!$D$7</definedName>
    <definedName name="solver_lhs28" localSheetId="16" hidden="1">ExpPar3!$D$7</definedName>
    <definedName name="solver_lhs28" localSheetId="17" hidden="1">ExpPar4!$D$7</definedName>
    <definedName name="solver_lhs28" localSheetId="6" hidden="1">ExpSpl!$D$7</definedName>
    <definedName name="solver_lhs28" localSheetId="11" hidden="1">ExpSpl3!$D$7</definedName>
    <definedName name="solver_lhs28" localSheetId="12" hidden="1">ExpSpl4!$D$7</definedName>
    <definedName name="solver_lhs28" localSheetId="13" hidden="1">ExpSpl5!$D$7</definedName>
    <definedName name="solver_lhs28" localSheetId="7" hidden="1">ExpY!$D$7</definedName>
    <definedName name="solver_lhs28" localSheetId="5" hidden="1">IOX!$D$7</definedName>
    <definedName name="solver_lhs28" localSheetId="2" hidden="1">RectX!$D$7</definedName>
    <definedName name="solver_lhs29" localSheetId="14" hidden="1">ExpPar1!$D$7</definedName>
    <definedName name="solver_lhs29" localSheetId="15" hidden="1">ExpPar2!$D$7</definedName>
    <definedName name="solver_lhs29" localSheetId="16" hidden="1">ExpPar3!$D$7</definedName>
    <definedName name="solver_lhs29" localSheetId="17" hidden="1">ExpPar4!$D$7</definedName>
    <definedName name="solver_lhs29" localSheetId="6" hidden="1">ExpSpl!$D$7</definedName>
    <definedName name="solver_lhs29" localSheetId="11" hidden="1">ExpSpl3!$D$7</definedName>
    <definedName name="solver_lhs29" localSheetId="12" hidden="1">ExpSpl4!$D$7</definedName>
    <definedName name="solver_lhs29" localSheetId="13" hidden="1">ExpSpl5!$D$7</definedName>
    <definedName name="solver_lhs29" localSheetId="7" hidden="1">ExpY!$D$7</definedName>
    <definedName name="solver_lhs29" localSheetId="5" hidden="1">IOX!$D$7</definedName>
    <definedName name="solver_lhs29" localSheetId="2" hidden="1">RectX!$D$7</definedName>
    <definedName name="solver_lhs3" localSheetId="14" hidden="1">ExpPar1!$D$11</definedName>
    <definedName name="solver_lhs3" localSheetId="15" hidden="1">ExpPar2!$D$11</definedName>
    <definedName name="solver_lhs3" localSheetId="16" hidden="1">ExpPar3!$D$11</definedName>
    <definedName name="solver_lhs3" localSheetId="17" hidden="1">ExpPar4!$D$11</definedName>
    <definedName name="solver_lhs3" localSheetId="6" hidden="1">ExpSpl!$D$11</definedName>
    <definedName name="solver_lhs3" localSheetId="9" hidden="1">ExpSpl1!$D$11</definedName>
    <definedName name="solver_lhs3" localSheetId="10" hidden="1">ExpSpl2!$D$11</definedName>
    <definedName name="solver_lhs3" localSheetId="11" hidden="1">ExpSpl3!$D$11</definedName>
    <definedName name="solver_lhs3" localSheetId="12" hidden="1">ExpSpl4!$D$11</definedName>
    <definedName name="solver_lhs3" localSheetId="13" hidden="1">ExpSpl5!$D$11</definedName>
    <definedName name="solver_lhs3" localSheetId="7" hidden="1">ExpY!$D$7</definedName>
    <definedName name="solver_lhs3" localSheetId="5" hidden="1">IOX!$D$11</definedName>
    <definedName name="solver_lhs3" localSheetId="2" hidden="1">RectX!$D$11</definedName>
    <definedName name="solver_lhs3" localSheetId="3" hidden="1">RectY!$D$5</definedName>
    <definedName name="solver_lhs30" localSheetId="14" hidden="1">ExpPar1!$D$11</definedName>
    <definedName name="solver_lhs30" localSheetId="15" hidden="1">ExpPar2!$D$11</definedName>
    <definedName name="solver_lhs30" localSheetId="16" hidden="1">ExpPar3!$D$11</definedName>
    <definedName name="solver_lhs30" localSheetId="17" hidden="1">ExpPar4!$D$11</definedName>
    <definedName name="solver_lhs30" localSheetId="6" hidden="1">ExpSpl!$D$11</definedName>
    <definedName name="solver_lhs30" localSheetId="11" hidden="1">ExpSpl3!$D$11</definedName>
    <definedName name="solver_lhs30" localSheetId="12" hidden="1">ExpSpl4!$D$11</definedName>
    <definedName name="solver_lhs30" localSheetId="13" hidden="1">ExpSpl5!$D$11</definedName>
    <definedName name="solver_lhs30" localSheetId="7" hidden="1">ExpY!$D$11</definedName>
    <definedName name="solver_lhs30" localSheetId="5" hidden="1">IOX!$D$11</definedName>
    <definedName name="solver_lhs30" localSheetId="2" hidden="1">RectX!$D$11</definedName>
    <definedName name="solver_lhs31" localSheetId="14" hidden="1">ExpPar1!$D$7</definedName>
    <definedName name="solver_lhs31" localSheetId="15" hidden="1">ExpPar2!$D$7</definedName>
    <definedName name="solver_lhs31" localSheetId="16" hidden="1">ExpPar3!$D$7</definedName>
    <definedName name="solver_lhs31" localSheetId="17" hidden="1">ExpPar4!$D$7</definedName>
    <definedName name="solver_lhs31" localSheetId="6" hidden="1">ExpSpl!$D$7</definedName>
    <definedName name="solver_lhs31" localSheetId="11" hidden="1">ExpSpl3!$D$7</definedName>
    <definedName name="solver_lhs31" localSheetId="12" hidden="1">ExpSpl4!$D$7</definedName>
    <definedName name="solver_lhs31" localSheetId="13" hidden="1">ExpSpl5!$D$7</definedName>
    <definedName name="solver_lhs31" localSheetId="7" hidden="1">ExpY!$D$7</definedName>
    <definedName name="solver_lhs31" localSheetId="5" hidden="1">IOX!$D$7</definedName>
    <definedName name="solver_lhs31" localSheetId="2" hidden="1">RectX!$D$7</definedName>
    <definedName name="solver_lhs32" localSheetId="14" hidden="1">ExpPar1!$D$7</definedName>
    <definedName name="solver_lhs32" localSheetId="15" hidden="1">ExpPar2!$D$7</definedName>
    <definedName name="solver_lhs32" localSheetId="16" hidden="1">ExpPar3!$D$7</definedName>
    <definedName name="solver_lhs32" localSheetId="17" hidden="1">ExpPar4!$D$7</definedName>
    <definedName name="solver_lhs32" localSheetId="6" hidden="1">ExpSpl!$D$7</definedName>
    <definedName name="solver_lhs32" localSheetId="11" hidden="1">ExpSpl3!$D$7</definedName>
    <definedName name="solver_lhs32" localSheetId="12" hidden="1">ExpSpl4!$D$7</definedName>
    <definedName name="solver_lhs32" localSheetId="13" hidden="1">ExpSpl5!$D$7</definedName>
    <definedName name="solver_lhs32" localSheetId="7" hidden="1">ExpY!$D$7</definedName>
    <definedName name="solver_lhs32" localSheetId="5" hidden="1">IOX!$D$7</definedName>
    <definedName name="solver_lhs32" localSheetId="2" hidden="1">RectX!$D$7</definedName>
    <definedName name="solver_lhs33" localSheetId="14" hidden="1">ExpPar1!$D$11</definedName>
    <definedName name="solver_lhs33" localSheetId="15" hidden="1">ExpPar2!$D$11</definedName>
    <definedName name="solver_lhs33" localSheetId="16" hidden="1">ExpPar3!$D$11</definedName>
    <definedName name="solver_lhs33" localSheetId="17" hidden="1">ExpPar4!$D$11</definedName>
    <definedName name="solver_lhs33" localSheetId="6" hidden="1">ExpSpl!$D$11</definedName>
    <definedName name="solver_lhs33" localSheetId="11" hidden="1">ExpSpl3!$D$11</definedName>
    <definedName name="solver_lhs33" localSheetId="12" hidden="1">ExpSpl4!$D$11</definedName>
    <definedName name="solver_lhs33" localSheetId="13" hidden="1">ExpSpl5!$D$11</definedName>
    <definedName name="solver_lhs33" localSheetId="7" hidden="1">ExpY!$D$11</definedName>
    <definedName name="solver_lhs33" localSheetId="5" hidden="1">IOX!$D$11</definedName>
    <definedName name="solver_lhs33" localSheetId="2" hidden="1">RectX!$D$11</definedName>
    <definedName name="solver_lhs34" localSheetId="14" hidden="1">ExpPar1!$D$7</definedName>
    <definedName name="solver_lhs34" localSheetId="15" hidden="1">ExpPar2!$D$7</definedName>
    <definedName name="solver_lhs34" localSheetId="16" hidden="1">ExpPar3!$D$7</definedName>
    <definedName name="solver_lhs34" localSheetId="17" hidden="1">ExpPar4!$D$7</definedName>
    <definedName name="solver_lhs34" localSheetId="6" hidden="1">ExpSpl!$D$7</definedName>
    <definedName name="solver_lhs34" localSheetId="11" hidden="1">ExpSpl3!$D$7</definedName>
    <definedName name="solver_lhs34" localSheetId="7" hidden="1">ExpY!$D$7</definedName>
    <definedName name="solver_lhs34" localSheetId="5" hidden="1">IOX!$D$7</definedName>
    <definedName name="solver_lhs34" localSheetId="2" hidden="1">RectX!$D$7</definedName>
    <definedName name="solver_lhs35" localSheetId="14" hidden="1">ExpPar1!$D$7</definedName>
    <definedName name="solver_lhs35" localSheetId="15" hidden="1">ExpPar2!$D$7</definedName>
    <definedName name="solver_lhs35" localSheetId="16" hidden="1">ExpPar3!$D$7</definedName>
    <definedName name="solver_lhs35" localSheetId="17" hidden="1">ExpPar4!$D$7</definedName>
    <definedName name="solver_lhs35" localSheetId="6" hidden="1">ExpSpl!$D$7</definedName>
    <definedName name="solver_lhs35" localSheetId="11" hidden="1">ExpSpl3!$D$7</definedName>
    <definedName name="solver_lhs35" localSheetId="7" hidden="1">ExpY!$D$7</definedName>
    <definedName name="solver_lhs35" localSheetId="5" hidden="1">IOX!$D$7</definedName>
    <definedName name="solver_lhs35" localSheetId="2" hidden="1">RectX!$D$7</definedName>
    <definedName name="solver_lhs36" localSheetId="14" hidden="1">ExpPar1!$D$11</definedName>
    <definedName name="solver_lhs36" localSheetId="15" hidden="1">ExpPar2!$D$11</definedName>
    <definedName name="solver_lhs36" localSheetId="16" hidden="1">ExpPar3!$D$11</definedName>
    <definedName name="solver_lhs36" localSheetId="17" hidden="1">ExpPar4!$D$11</definedName>
    <definedName name="solver_lhs36" localSheetId="6" hidden="1">ExpSpl!$D$11</definedName>
    <definedName name="solver_lhs36" localSheetId="11" hidden="1">ExpSpl3!$D$11</definedName>
    <definedName name="solver_lhs36" localSheetId="7" hidden="1">ExpY!$D$11</definedName>
    <definedName name="solver_lhs36" localSheetId="5" hidden="1">IOX!$D$11</definedName>
    <definedName name="solver_lhs36" localSheetId="2" hidden="1">RectX!$D$11</definedName>
    <definedName name="solver_lhs37" localSheetId="14" hidden="1">ExpPar1!$D$7</definedName>
    <definedName name="solver_lhs37" localSheetId="15" hidden="1">ExpPar2!$D$7</definedName>
    <definedName name="solver_lhs37" localSheetId="16" hidden="1">ExpPar3!$D$7</definedName>
    <definedName name="solver_lhs37" localSheetId="17" hidden="1">ExpPar4!$D$7</definedName>
    <definedName name="solver_lhs37" localSheetId="6" hidden="1">ExpSpl!$D$7</definedName>
    <definedName name="solver_lhs37" localSheetId="11" hidden="1">ExpSpl3!$D$7</definedName>
    <definedName name="solver_lhs37" localSheetId="7" hidden="1">ExpY!$D$7</definedName>
    <definedName name="solver_lhs37" localSheetId="5" hidden="1">IOX!$D$7</definedName>
    <definedName name="solver_lhs37" localSheetId="2" hidden="1">RectX!$D$7</definedName>
    <definedName name="solver_lhs38" localSheetId="14" hidden="1">ExpPar1!$D$7</definedName>
    <definedName name="solver_lhs38" localSheetId="15" hidden="1">ExpPar2!$D$7</definedName>
    <definedName name="solver_lhs38" localSheetId="16" hidden="1">ExpPar3!$D$7</definedName>
    <definedName name="solver_lhs38" localSheetId="17" hidden="1">ExpPar4!$D$7</definedName>
    <definedName name="solver_lhs38" localSheetId="6" hidden="1">ExpSpl!$D$7</definedName>
    <definedName name="solver_lhs38" localSheetId="11" hidden="1">ExpSpl3!$D$7</definedName>
    <definedName name="solver_lhs38" localSheetId="7" hidden="1">ExpY!$D$7</definedName>
    <definedName name="solver_lhs38" localSheetId="5" hidden="1">IOX!$D$7</definedName>
    <definedName name="solver_lhs38" localSheetId="2" hidden="1">RectX!$D$7</definedName>
    <definedName name="solver_lhs39" localSheetId="14" hidden="1">ExpPar1!$D$11</definedName>
    <definedName name="solver_lhs39" localSheetId="15" hidden="1">ExpPar2!$D$11</definedName>
    <definedName name="solver_lhs39" localSheetId="16" hidden="1">ExpPar3!$D$11</definedName>
    <definedName name="solver_lhs39" localSheetId="17" hidden="1">ExpPar4!$D$11</definedName>
    <definedName name="solver_lhs39" localSheetId="6" hidden="1">ExpSpl!$D$11</definedName>
    <definedName name="solver_lhs39" localSheetId="11" hidden="1">ExpSpl3!$D$11</definedName>
    <definedName name="solver_lhs39" localSheetId="7" hidden="1">ExpY!$D$11</definedName>
    <definedName name="solver_lhs39" localSheetId="5" hidden="1">IOX!$D$11</definedName>
    <definedName name="solver_lhs39" localSheetId="2" hidden="1">RectX!$D$11</definedName>
    <definedName name="solver_lhs4" localSheetId="14" hidden="1">ExpPar1!$D$7</definedName>
    <definedName name="solver_lhs4" localSheetId="15" hidden="1">ExpPar2!$D$7</definedName>
    <definedName name="solver_lhs4" localSheetId="16" hidden="1">ExpPar3!$D$7</definedName>
    <definedName name="solver_lhs4" localSheetId="17" hidden="1">ExpPar4!$D$7</definedName>
    <definedName name="solver_lhs4" localSheetId="6" hidden="1">ExpSpl!$D$7</definedName>
    <definedName name="solver_lhs4" localSheetId="9" hidden="1">ExpSpl1!$D$7</definedName>
    <definedName name="solver_lhs4" localSheetId="10" hidden="1">ExpSpl2!$D$7</definedName>
    <definedName name="solver_lhs4" localSheetId="11" hidden="1">ExpSpl3!$D$7</definedName>
    <definedName name="solver_lhs4" localSheetId="12" hidden="1">ExpSpl4!$D$7</definedName>
    <definedName name="solver_lhs4" localSheetId="13" hidden="1">ExpSpl5!$D$7</definedName>
    <definedName name="solver_lhs4" localSheetId="7" hidden="1">ExpY!$D$7</definedName>
    <definedName name="solver_lhs4" localSheetId="5" hidden="1">IOX!$D$7</definedName>
    <definedName name="solver_lhs4" localSheetId="2" hidden="1">RectX!$D$7</definedName>
    <definedName name="solver_lhs4" localSheetId="3" hidden="1">RectY!$D$5</definedName>
    <definedName name="solver_lhs40" localSheetId="14" hidden="1">ExpPar1!$D$7</definedName>
    <definedName name="solver_lhs40" localSheetId="15" hidden="1">ExpPar2!$D$7</definedName>
    <definedName name="solver_lhs40" localSheetId="16" hidden="1">ExpPar3!$D$7</definedName>
    <definedName name="solver_lhs40" localSheetId="17" hidden="1">ExpPar4!$D$7</definedName>
    <definedName name="solver_lhs40" localSheetId="6" hidden="1">ExpSpl!$D$7</definedName>
    <definedName name="solver_lhs40" localSheetId="7" hidden="1">ExpY!$D$7</definedName>
    <definedName name="solver_lhs40" localSheetId="5" hidden="1">IOX!$D$7</definedName>
    <definedName name="solver_lhs40" localSheetId="2" hidden="1">RectX!$D$7</definedName>
    <definedName name="solver_lhs41" localSheetId="14" hidden="1">ExpPar1!$D$7</definedName>
    <definedName name="solver_lhs41" localSheetId="15" hidden="1">ExpPar2!$D$7</definedName>
    <definedName name="solver_lhs41" localSheetId="16" hidden="1">ExpPar3!$D$7</definedName>
    <definedName name="solver_lhs41" localSheetId="17" hidden="1">ExpPar4!$D$7</definedName>
    <definedName name="solver_lhs41" localSheetId="6" hidden="1">ExpSpl!$D$7</definedName>
    <definedName name="solver_lhs41" localSheetId="7" hidden="1">ExpY!$D$7</definedName>
    <definedName name="solver_lhs41" localSheetId="5" hidden="1">IOX!$D$7</definedName>
    <definedName name="solver_lhs41" localSheetId="2" hidden="1">RectX!$D$7</definedName>
    <definedName name="solver_lhs42" localSheetId="14" hidden="1">ExpPar1!$D$11</definedName>
    <definedName name="solver_lhs42" localSheetId="15" hidden="1">ExpPar2!$D$11</definedName>
    <definedName name="solver_lhs42" localSheetId="16" hidden="1">ExpPar3!$D$11</definedName>
    <definedName name="solver_lhs42" localSheetId="17" hidden="1">ExpPar4!$D$11</definedName>
    <definedName name="solver_lhs42" localSheetId="6" hidden="1">ExpSpl!$D$11</definedName>
    <definedName name="solver_lhs42" localSheetId="7" hidden="1">ExpY!$D$11</definedName>
    <definedName name="solver_lhs42" localSheetId="5" hidden="1">IOX!$D$11</definedName>
    <definedName name="solver_lhs42" localSheetId="2" hidden="1">RectX!$D$11</definedName>
    <definedName name="solver_lhs43" localSheetId="14" hidden="1">ExpPar1!$D$7</definedName>
    <definedName name="solver_lhs43" localSheetId="15" hidden="1">ExpPar2!$D$7</definedName>
    <definedName name="solver_lhs43" localSheetId="16" hidden="1">ExpPar3!$D$7</definedName>
    <definedName name="solver_lhs43" localSheetId="17" hidden="1">ExpPar4!$D$7</definedName>
    <definedName name="solver_lhs43" localSheetId="6" hidden="1">ExpSpl!$D$7</definedName>
    <definedName name="solver_lhs43" localSheetId="7" hidden="1">ExpY!$D$7</definedName>
    <definedName name="solver_lhs43" localSheetId="5" hidden="1">IOX!$D$7</definedName>
    <definedName name="solver_lhs44" localSheetId="14" hidden="1">ExpPar1!$D$7</definedName>
    <definedName name="solver_lhs44" localSheetId="15" hidden="1">ExpPar2!$D$7</definedName>
    <definedName name="solver_lhs44" localSheetId="16" hidden="1">ExpPar3!$D$7</definedName>
    <definedName name="solver_lhs44" localSheetId="17" hidden="1">ExpPar4!$D$7</definedName>
    <definedName name="solver_lhs44" localSheetId="6" hidden="1">ExpSpl!$D$7</definedName>
    <definedName name="solver_lhs44" localSheetId="7" hidden="1">ExpY!$D$7</definedName>
    <definedName name="solver_lhs44" localSheetId="5" hidden="1">IOX!$D$7</definedName>
    <definedName name="solver_lhs45" localSheetId="14" hidden="1">ExpPar1!$D$11</definedName>
    <definedName name="solver_lhs45" localSheetId="15" hidden="1">ExpPar2!$D$11</definedName>
    <definedName name="solver_lhs45" localSheetId="16" hidden="1">ExpPar3!$D$11</definedName>
    <definedName name="solver_lhs45" localSheetId="17" hidden="1">ExpPar4!$D$11</definedName>
    <definedName name="solver_lhs45" localSheetId="6" hidden="1">ExpSpl!$D$11</definedName>
    <definedName name="solver_lhs45" localSheetId="7" hidden="1">ExpY!$D$11</definedName>
    <definedName name="solver_lhs45" localSheetId="5" hidden="1">IOX!$D$11</definedName>
    <definedName name="solver_lhs46" localSheetId="14" hidden="1">ExpPar1!$D$7</definedName>
    <definedName name="solver_lhs46" localSheetId="15" hidden="1">ExpPar2!$D$7</definedName>
    <definedName name="solver_lhs46" localSheetId="16" hidden="1">ExpPar3!$D$7</definedName>
    <definedName name="solver_lhs46" localSheetId="17" hidden="1">ExpPar4!$D$7</definedName>
    <definedName name="solver_lhs46" localSheetId="6" hidden="1">ExpSpl!$D$7</definedName>
    <definedName name="solver_lhs46" localSheetId="7" hidden="1">ExpY!$D$7</definedName>
    <definedName name="solver_lhs46" localSheetId="5" hidden="1">IOX!$D$7</definedName>
    <definedName name="solver_lhs47" localSheetId="14" hidden="1">ExpPar1!$D$7</definedName>
    <definedName name="solver_lhs47" localSheetId="15" hidden="1">ExpPar2!$D$7</definedName>
    <definedName name="solver_lhs47" localSheetId="16" hidden="1">ExpPar3!$D$7</definedName>
    <definedName name="solver_lhs47" localSheetId="17" hidden="1">ExpPar4!$D$7</definedName>
    <definedName name="solver_lhs47" localSheetId="6" hidden="1">ExpSpl!$D$7</definedName>
    <definedName name="solver_lhs47" localSheetId="7" hidden="1">ExpY!$D$7</definedName>
    <definedName name="solver_lhs47" localSheetId="5" hidden="1">IOX!$D$7</definedName>
    <definedName name="solver_lhs48" localSheetId="14" hidden="1">ExpPar1!$D$11</definedName>
    <definedName name="solver_lhs48" localSheetId="15" hidden="1">ExpPar2!$D$11</definedName>
    <definedName name="solver_lhs48" localSheetId="16" hidden="1">ExpPar3!$D$11</definedName>
    <definedName name="solver_lhs48" localSheetId="17" hidden="1">ExpPar4!$D$11</definedName>
    <definedName name="solver_lhs48" localSheetId="6" hidden="1">ExpSpl!$D$11</definedName>
    <definedName name="solver_lhs48" localSheetId="7" hidden="1">ExpY!$D$11</definedName>
    <definedName name="solver_lhs48" localSheetId="5" hidden="1">IOX!$D$11</definedName>
    <definedName name="solver_lhs49" localSheetId="14" hidden="1">ExpPar1!$D$7</definedName>
    <definedName name="solver_lhs49" localSheetId="15" hidden="1">ExpPar2!$D$7</definedName>
    <definedName name="solver_lhs49" localSheetId="16" hidden="1">ExpPar3!$D$7</definedName>
    <definedName name="solver_lhs49" localSheetId="17" hidden="1">ExpPar4!$D$7</definedName>
    <definedName name="solver_lhs49" localSheetId="6" hidden="1">ExpSpl!$D$7</definedName>
    <definedName name="solver_lhs49" localSheetId="7" hidden="1">ExpY!$D$7</definedName>
    <definedName name="solver_lhs49" localSheetId="5" hidden="1">IOX!$D$7</definedName>
    <definedName name="solver_lhs5" localSheetId="14" hidden="1">ExpPar1!$D$7</definedName>
    <definedName name="solver_lhs5" localSheetId="15" hidden="1">ExpPar2!$D$7</definedName>
    <definedName name="solver_lhs5" localSheetId="16" hidden="1">ExpPar3!$D$7</definedName>
    <definedName name="solver_lhs5" localSheetId="17" hidden="1">ExpPar4!$D$7</definedName>
    <definedName name="solver_lhs5" localSheetId="6" hidden="1">ExpSpl!$D$7</definedName>
    <definedName name="solver_lhs5" localSheetId="9" hidden="1">ExpSpl1!$D$7</definedName>
    <definedName name="solver_lhs5" localSheetId="10" hidden="1">ExpSpl2!$D$7</definedName>
    <definedName name="solver_lhs5" localSheetId="11" hidden="1">ExpSpl3!$D$7</definedName>
    <definedName name="solver_lhs5" localSheetId="12" hidden="1">ExpSpl4!$D$7</definedName>
    <definedName name="solver_lhs5" localSheetId="13" hidden="1">ExpSpl5!$D$7</definedName>
    <definedName name="solver_lhs5" localSheetId="7" hidden="1">ExpY!$D$7</definedName>
    <definedName name="solver_lhs5" localSheetId="5" hidden="1">IOX!$D$7</definedName>
    <definedName name="solver_lhs5" localSheetId="2" hidden="1">RectX!$D$7</definedName>
    <definedName name="solver_lhs50" localSheetId="14" hidden="1">ExpPar1!$D$7</definedName>
    <definedName name="solver_lhs50" localSheetId="15" hidden="1">ExpPar2!$D$7</definedName>
    <definedName name="solver_lhs50" localSheetId="16" hidden="1">ExpPar3!$D$7</definedName>
    <definedName name="solver_lhs50" localSheetId="17" hidden="1">ExpPar4!$D$7</definedName>
    <definedName name="solver_lhs50" localSheetId="6" hidden="1">ExpSpl!$D$7</definedName>
    <definedName name="solver_lhs50" localSheetId="7" hidden="1">ExpY!$D$7</definedName>
    <definedName name="solver_lhs50" localSheetId="5" hidden="1">IOX!$D$7</definedName>
    <definedName name="solver_lhs51" localSheetId="14" hidden="1">ExpPar1!$D$11</definedName>
    <definedName name="solver_lhs51" localSheetId="15" hidden="1">ExpPar2!$D$11</definedName>
    <definedName name="solver_lhs51" localSheetId="16" hidden="1">ExpPar3!$D$11</definedName>
    <definedName name="solver_lhs51" localSheetId="17" hidden="1">ExpPar4!$D$11</definedName>
    <definedName name="solver_lhs51" localSheetId="6" hidden="1">ExpSpl!$D$11</definedName>
    <definedName name="solver_lhs51" localSheetId="7" hidden="1">ExpY!$D$11</definedName>
    <definedName name="solver_lhs51" localSheetId="5" hidden="1">IOX!$D$11</definedName>
    <definedName name="solver_lhs52" localSheetId="14" hidden="1">ExpPar1!$D$7</definedName>
    <definedName name="solver_lhs52" localSheetId="15" hidden="1">ExpPar2!$D$7</definedName>
    <definedName name="solver_lhs52" localSheetId="16" hidden="1">ExpPar3!$D$7</definedName>
    <definedName name="solver_lhs52" localSheetId="17" hidden="1">ExpPar4!$D$7</definedName>
    <definedName name="solver_lhs52" localSheetId="6" hidden="1">ExpSpl!$D$7</definedName>
    <definedName name="solver_lhs52" localSheetId="7" hidden="1">ExpY!$D$7</definedName>
    <definedName name="solver_lhs52" localSheetId="5" hidden="1">IOX!$D$7</definedName>
    <definedName name="solver_lhs53" localSheetId="14" hidden="1">ExpPar1!$D$7</definedName>
    <definedName name="solver_lhs53" localSheetId="15" hidden="1">ExpPar2!$D$7</definedName>
    <definedName name="solver_lhs53" localSheetId="16" hidden="1">ExpPar3!$D$7</definedName>
    <definedName name="solver_lhs53" localSheetId="17" hidden="1">ExpPar4!$D$7</definedName>
    <definedName name="solver_lhs53" localSheetId="6" hidden="1">ExpSpl!$D$7</definedName>
    <definedName name="solver_lhs53" localSheetId="7" hidden="1">ExpY!$D$7</definedName>
    <definedName name="solver_lhs53" localSheetId="5" hidden="1">IOX!$D$7</definedName>
    <definedName name="solver_lhs54" localSheetId="14" hidden="1">ExpPar1!$D$11</definedName>
    <definedName name="solver_lhs54" localSheetId="15" hidden="1">ExpPar2!$D$11</definedName>
    <definedName name="solver_lhs54" localSheetId="16" hidden="1">ExpPar3!$D$11</definedName>
    <definedName name="solver_lhs54" localSheetId="17" hidden="1">ExpPar4!$D$11</definedName>
    <definedName name="solver_lhs54" localSheetId="6" hidden="1">ExpSpl!$D$11</definedName>
    <definedName name="solver_lhs54" localSheetId="7" hidden="1">ExpY!$D$11</definedName>
    <definedName name="solver_lhs54" localSheetId="5" hidden="1">IOX!$D$11</definedName>
    <definedName name="solver_lhs55" localSheetId="7" hidden="1">ExpY!$D$7</definedName>
    <definedName name="solver_lhs55" localSheetId="5" hidden="1">IOX!$D$7</definedName>
    <definedName name="solver_lhs56" localSheetId="7" hidden="1">ExpY!$D$7</definedName>
    <definedName name="solver_lhs56" localSheetId="5" hidden="1">IOX!$D$7</definedName>
    <definedName name="solver_lhs57" localSheetId="7" hidden="1">ExpY!$D$11</definedName>
    <definedName name="solver_lhs57" localSheetId="5" hidden="1">IOX!$D$11</definedName>
    <definedName name="solver_lhs58" localSheetId="7" hidden="1">ExpY!$D$7</definedName>
    <definedName name="solver_lhs58" localSheetId="5" hidden="1">IOX!$D$7</definedName>
    <definedName name="solver_lhs59" localSheetId="7" hidden="1">ExpY!$D$7</definedName>
    <definedName name="solver_lhs59" localSheetId="5" hidden="1">IOX!$D$7</definedName>
    <definedName name="solver_lhs6" localSheetId="14" hidden="1">ExpPar1!$D$11</definedName>
    <definedName name="solver_lhs6" localSheetId="15" hidden="1">ExpPar2!$D$11</definedName>
    <definedName name="solver_lhs6" localSheetId="16" hidden="1">ExpPar3!$D$11</definedName>
    <definedName name="solver_lhs6" localSheetId="17" hidden="1">ExpPar4!$D$11</definedName>
    <definedName name="solver_lhs6" localSheetId="6" hidden="1">ExpSpl!$D$11</definedName>
    <definedName name="solver_lhs6" localSheetId="9" hidden="1">ExpSpl1!$D$11</definedName>
    <definedName name="solver_lhs6" localSheetId="10" hidden="1">ExpSpl2!$D$11</definedName>
    <definedName name="solver_lhs6" localSheetId="11" hidden="1">ExpSpl3!$D$11</definedName>
    <definedName name="solver_lhs6" localSheetId="12" hidden="1">ExpSpl4!$D$11</definedName>
    <definedName name="solver_lhs6" localSheetId="13" hidden="1">ExpSpl5!$D$11</definedName>
    <definedName name="solver_lhs6" localSheetId="7" hidden="1">ExpY!$D$11</definedName>
    <definedName name="solver_lhs6" localSheetId="5" hidden="1">IOX!$D$7</definedName>
    <definedName name="solver_lhs6" localSheetId="2" hidden="1">RectX!$D$11</definedName>
    <definedName name="solver_lhs60" localSheetId="7" hidden="1">ExpY!$D$11</definedName>
    <definedName name="solver_lhs60" localSheetId="5" hidden="1">IOX!$D$11</definedName>
    <definedName name="solver_lhs61" localSheetId="5" hidden="1">IOX!$D$7</definedName>
    <definedName name="solver_lhs62" localSheetId="5" hidden="1">IOX!$D$7</definedName>
    <definedName name="solver_lhs63" localSheetId="5" hidden="1">IOX!$D$11</definedName>
    <definedName name="solver_lhs64" localSheetId="5" hidden="1">IOX!$D$7</definedName>
    <definedName name="solver_lhs65" localSheetId="5" hidden="1">IOX!$D$7</definedName>
    <definedName name="solver_lhs66" localSheetId="5" hidden="1">IOX!$D$11</definedName>
    <definedName name="solver_lhs67" localSheetId="5" hidden="1">IOX!$D$7</definedName>
    <definedName name="solver_lhs68" localSheetId="5" hidden="1">IOX!$D$7</definedName>
    <definedName name="solver_lhs69" localSheetId="5" hidden="1">IOX!$D$11</definedName>
    <definedName name="solver_lhs7" localSheetId="14" hidden="1">ExpPar1!$D$7</definedName>
    <definedName name="solver_lhs7" localSheetId="15" hidden="1">ExpPar2!$D$7</definedName>
    <definedName name="solver_lhs7" localSheetId="16" hidden="1">ExpPar3!$D$7</definedName>
    <definedName name="solver_lhs7" localSheetId="17" hidden="1">ExpPar4!$D$7</definedName>
    <definedName name="solver_lhs7" localSheetId="6" hidden="1">ExpSpl!$D$7</definedName>
    <definedName name="solver_lhs7" localSheetId="9" hidden="1">ExpSpl1!$D$7</definedName>
    <definedName name="solver_lhs7" localSheetId="10" hidden="1">ExpSpl2!$D$7</definedName>
    <definedName name="solver_lhs7" localSheetId="11" hidden="1">ExpSpl3!$D$7</definedName>
    <definedName name="solver_lhs7" localSheetId="12" hidden="1">ExpSpl4!$D$7</definedName>
    <definedName name="solver_lhs7" localSheetId="13" hidden="1">ExpSpl5!$D$7</definedName>
    <definedName name="solver_lhs7" localSheetId="7" hidden="1">ExpY!$D$7</definedName>
    <definedName name="solver_lhs7" localSheetId="5" hidden="1">IOX!$D$7</definedName>
    <definedName name="solver_lhs7" localSheetId="2" hidden="1">RectX!$D$7</definedName>
    <definedName name="solver_lhs70" localSheetId="5" hidden="1">IOX!$D$7</definedName>
    <definedName name="solver_lhs71" localSheetId="5" hidden="1">IOX!$D$7</definedName>
    <definedName name="solver_lhs72" localSheetId="5" hidden="1">IOX!$D$11</definedName>
    <definedName name="solver_lhs73" localSheetId="5" hidden="1">IOX!$D$7</definedName>
    <definedName name="solver_lhs74" localSheetId="5" hidden="1">IOX!$D$7</definedName>
    <definedName name="solver_lhs75" localSheetId="5" hidden="1">IOX!$D$11</definedName>
    <definedName name="solver_lhs76" localSheetId="5" hidden="1">IOX!$D$7</definedName>
    <definedName name="solver_lhs77" localSheetId="5" hidden="1">IOX!$D$7</definedName>
    <definedName name="solver_lhs78" localSheetId="5" hidden="1">IOX!$D$11</definedName>
    <definedName name="solver_lhs79" localSheetId="5" hidden="1">IOX!$D$7</definedName>
    <definedName name="solver_lhs8" localSheetId="14" hidden="1">ExpPar1!$D$7</definedName>
    <definedName name="solver_lhs8" localSheetId="15" hidden="1">ExpPar2!$D$7</definedName>
    <definedName name="solver_lhs8" localSheetId="16" hidden="1">ExpPar3!$D$7</definedName>
    <definedName name="solver_lhs8" localSheetId="17" hidden="1">ExpPar4!$D$7</definedName>
    <definedName name="solver_lhs8" localSheetId="6" hidden="1">ExpSpl!$D$7</definedName>
    <definedName name="solver_lhs8" localSheetId="9" hidden="1">ExpSpl1!$D$7</definedName>
    <definedName name="solver_lhs8" localSheetId="10" hidden="1">ExpSpl2!$D$7</definedName>
    <definedName name="solver_lhs8" localSheetId="11" hidden="1">ExpSpl3!$D$7</definedName>
    <definedName name="solver_lhs8" localSheetId="12" hidden="1">ExpSpl4!$D$7</definedName>
    <definedName name="solver_lhs8" localSheetId="13" hidden="1">ExpSpl5!$D$7</definedName>
    <definedName name="solver_lhs8" localSheetId="7" hidden="1">ExpY!$D$7</definedName>
    <definedName name="solver_lhs8" localSheetId="5" hidden="1">IOX!$D$7</definedName>
    <definedName name="solver_lhs8" localSheetId="2" hidden="1">RectX!$D$7</definedName>
    <definedName name="solver_lhs80" localSheetId="5" hidden="1">IOX!$D$7</definedName>
    <definedName name="solver_lhs81" localSheetId="5" hidden="1">IOX!$D$11</definedName>
    <definedName name="solver_lhs82" localSheetId="5" hidden="1">IOX!$D$7</definedName>
    <definedName name="solver_lhs83" localSheetId="5" hidden="1">IOX!$D$7</definedName>
    <definedName name="solver_lhs84" localSheetId="5" hidden="1">IOX!$D$11</definedName>
    <definedName name="solver_lhs85" localSheetId="5" hidden="1">IOX!$D$7</definedName>
    <definedName name="solver_lhs86" localSheetId="5" hidden="1">IOX!$D$7</definedName>
    <definedName name="solver_lhs87" localSheetId="5" hidden="1">IOX!$D$11</definedName>
    <definedName name="solver_lhs88" localSheetId="5" hidden="1">IOX!$D$7</definedName>
    <definedName name="solver_lhs89" localSheetId="5" hidden="1">IOX!$D$7</definedName>
    <definedName name="solver_lhs9" localSheetId="14" hidden="1">ExpPar1!$D$11</definedName>
    <definedName name="solver_lhs9" localSheetId="15" hidden="1">ExpPar2!$D$11</definedName>
    <definedName name="solver_lhs9" localSheetId="16" hidden="1">ExpPar3!$D$11</definedName>
    <definedName name="solver_lhs9" localSheetId="17" hidden="1">ExpPar4!$D$11</definedName>
    <definedName name="solver_lhs9" localSheetId="6" hidden="1">ExpSpl!$D$11</definedName>
    <definedName name="solver_lhs9" localSheetId="9" hidden="1">ExpSpl1!$D$11</definedName>
    <definedName name="solver_lhs9" localSheetId="10" hidden="1">ExpSpl2!$D$11</definedName>
    <definedName name="solver_lhs9" localSheetId="11" hidden="1">ExpSpl3!$D$11</definedName>
    <definedName name="solver_lhs9" localSheetId="12" hidden="1">ExpSpl4!$D$11</definedName>
    <definedName name="solver_lhs9" localSheetId="13" hidden="1">ExpSpl5!$D$11</definedName>
    <definedName name="solver_lhs9" localSheetId="7" hidden="1">ExpY!$D$11</definedName>
    <definedName name="solver_lhs9" localSheetId="5" hidden="1">IOX!$D$7</definedName>
    <definedName name="solver_lhs9" localSheetId="2" hidden="1">RectX!$D$11</definedName>
    <definedName name="solver_lhs90" localSheetId="5" hidden="1">IOX!$D$11</definedName>
    <definedName name="solver_lhs91" localSheetId="5" hidden="1">IOX!$D$7</definedName>
    <definedName name="solver_lhs92" localSheetId="5" hidden="1">IOX!$D$7</definedName>
    <definedName name="solver_lhs93" localSheetId="5" hidden="1">IOX!$D$11</definedName>
    <definedName name="solver_lhs94" localSheetId="5" hidden="1">IOX!$D$7</definedName>
    <definedName name="solver_lhs95" localSheetId="5" hidden="1">IOX!$D$7</definedName>
    <definedName name="solver_lhs96" localSheetId="5" hidden="1">IOX!$D$11</definedName>
    <definedName name="solver_lhs97" localSheetId="5" hidden="1">IOX!$D$7</definedName>
    <definedName name="solver_lhs98" localSheetId="5" hidden="1">IOX!$D$7</definedName>
    <definedName name="solver_lhs99" localSheetId="5" hidden="1">IOX!$D$11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6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7" hidden="1">2147483647</definedName>
    <definedName name="solver_mip" localSheetId="5" hidden="1">2147483647</definedName>
    <definedName name="solver_mip" localSheetId="8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6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7" hidden="1">30</definedName>
    <definedName name="solver_mni" localSheetId="5" hidden="1">30</definedName>
    <definedName name="solver_mni" localSheetId="8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6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7" hidden="1">0.075</definedName>
    <definedName name="solver_mrt" localSheetId="5" hidden="1">0.075</definedName>
    <definedName name="solver_mrt" localSheetId="8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6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7" hidden="1">2</definedName>
    <definedName name="solver_msl" localSheetId="5" hidden="1">2</definedName>
    <definedName name="solver_msl" localSheetId="8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6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7" hidden="1">1</definedName>
    <definedName name="solver_neg" localSheetId="5" hidden="1">1</definedName>
    <definedName name="solver_neg" localSheetId="8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1" hidden="1">1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6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7" hidden="1">2147483647</definedName>
    <definedName name="solver_nod" localSheetId="5" hidden="1">2147483647</definedName>
    <definedName name="solver_nod" localSheetId="8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0" hidden="1">0</definedName>
    <definedName name="solver_num" localSheetId="14" hidden="1">54</definedName>
    <definedName name="solver_num" localSheetId="15" hidden="1">54</definedName>
    <definedName name="solver_num" localSheetId="16" hidden="1">54</definedName>
    <definedName name="solver_num" localSheetId="17" hidden="1">54</definedName>
    <definedName name="solver_num" localSheetId="6" hidden="1">54</definedName>
    <definedName name="solver_num" localSheetId="9" hidden="1">9</definedName>
    <definedName name="solver_num" localSheetId="10" hidden="1">0</definedName>
    <definedName name="solver_num" localSheetId="11" hidden="1">39</definedName>
    <definedName name="solver_num" localSheetId="12" hidden="1">6</definedName>
    <definedName name="solver_num" localSheetId="13" hidden="1">6</definedName>
    <definedName name="solver_num" localSheetId="7" hidden="1">60</definedName>
    <definedName name="solver_num" localSheetId="5" hidden="1">108</definedName>
    <definedName name="solver_num" localSheetId="8" hidden="1">0</definedName>
    <definedName name="solver_num" localSheetId="2" hidden="1">42</definedName>
    <definedName name="solver_num" localSheetId="3" hidden="1">0</definedName>
    <definedName name="solver_num" localSheetId="4" hidden="1">0</definedName>
    <definedName name="solver_num" localSheetId="1" hidden="1">0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6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7" hidden="1">1</definedName>
    <definedName name="solver_nwt" localSheetId="5" hidden="1">1</definedName>
    <definedName name="solver_nwt" localSheetId="8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14" hidden="1">ExpPar1!$D$22</definedName>
    <definedName name="solver_opt" localSheetId="15" hidden="1">ExpPar2!$D$22</definedName>
    <definedName name="solver_opt" localSheetId="16" hidden="1">ExpPar3!$D$22</definedName>
    <definedName name="solver_opt" localSheetId="17" hidden="1">ExpPar4!$D$22</definedName>
    <definedName name="solver_opt" localSheetId="6" hidden="1">ExpSpl!$D$22</definedName>
    <definedName name="solver_opt" localSheetId="9" hidden="1">ExpSpl1!$D$22</definedName>
    <definedName name="solver_opt" localSheetId="11" hidden="1">ExpSpl3!$D$22</definedName>
    <definedName name="solver_opt" localSheetId="12" hidden="1">ExpSpl4!$D$22</definedName>
    <definedName name="solver_opt" localSheetId="13" hidden="1">ExpSpl5!$D$22</definedName>
    <definedName name="solver_opt" localSheetId="7" hidden="1">ExpY!$D$22</definedName>
    <definedName name="solver_opt" localSheetId="5" hidden="1">IOX!$D$22</definedName>
    <definedName name="solver_opt" localSheetId="2" hidden="1">RectX!$D$22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6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7" hidden="1">0.000001</definedName>
    <definedName name="solver_pre" localSheetId="5" hidden="1">0.000001</definedName>
    <definedName name="solver_pre" localSheetId="8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6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7" hidden="1">1</definedName>
    <definedName name="solver_rbv" localSheetId="5" hidden="1">1</definedName>
    <definedName name="solver_rbv" localSheetId="8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el1" localSheetId="14" hidden="1">1</definedName>
    <definedName name="solver_rel1" localSheetId="15" hidden="1">1</definedName>
    <definedName name="solver_rel1" localSheetId="16" hidden="1">1</definedName>
    <definedName name="solver_rel1" localSheetId="17" hidden="1">1</definedName>
    <definedName name="solver_rel1" localSheetId="6" hidden="1">1</definedName>
    <definedName name="solver_rel1" localSheetId="9" hidden="1">1</definedName>
    <definedName name="solver_rel1" localSheetId="10" hidden="1">1</definedName>
    <definedName name="solver_rel1" localSheetId="11" hidden="1">1</definedName>
    <definedName name="solver_rel1" localSheetId="12" hidden="1">1</definedName>
    <definedName name="solver_rel1" localSheetId="13" hidden="1">1</definedName>
    <definedName name="solver_rel1" localSheetId="7" hidden="1">1</definedName>
    <definedName name="solver_rel1" localSheetId="5" hidden="1">1</definedName>
    <definedName name="solver_rel1" localSheetId="2" hidden="1">1</definedName>
    <definedName name="solver_rel1" localSheetId="3" hidden="1">1</definedName>
    <definedName name="solver_rel10" localSheetId="14" hidden="1">1</definedName>
    <definedName name="solver_rel10" localSheetId="15" hidden="1">1</definedName>
    <definedName name="solver_rel10" localSheetId="16" hidden="1">1</definedName>
    <definedName name="solver_rel10" localSheetId="17" hidden="1">1</definedName>
    <definedName name="solver_rel10" localSheetId="6" hidden="1">1</definedName>
    <definedName name="solver_rel10" localSheetId="9" hidden="1">1</definedName>
    <definedName name="solver_rel10" localSheetId="10" hidden="1">1</definedName>
    <definedName name="solver_rel10" localSheetId="11" hidden="1">1</definedName>
    <definedName name="solver_rel10" localSheetId="12" hidden="1">1</definedName>
    <definedName name="solver_rel10" localSheetId="13" hidden="1">1</definedName>
    <definedName name="solver_rel10" localSheetId="7" hidden="1">1</definedName>
    <definedName name="solver_rel10" localSheetId="5" hidden="1">1</definedName>
    <definedName name="solver_rel10" localSheetId="2" hidden="1">1</definedName>
    <definedName name="solver_rel100" localSheetId="5" hidden="1">1</definedName>
    <definedName name="solver_rel101" localSheetId="5" hidden="1">3</definedName>
    <definedName name="solver_rel102" localSheetId="5" hidden="1">1</definedName>
    <definedName name="solver_rel103" localSheetId="5" hidden="1">1</definedName>
    <definedName name="solver_rel104" localSheetId="5" hidden="1">3</definedName>
    <definedName name="solver_rel105" localSheetId="5" hidden="1">1</definedName>
    <definedName name="solver_rel106" localSheetId="5" hidden="1">1</definedName>
    <definedName name="solver_rel107" localSheetId="5" hidden="1">3</definedName>
    <definedName name="solver_rel108" localSheetId="5" hidden="1">1</definedName>
    <definedName name="solver_rel11" localSheetId="14" hidden="1">3</definedName>
    <definedName name="solver_rel11" localSheetId="15" hidden="1">3</definedName>
    <definedName name="solver_rel11" localSheetId="16" hidden="1">3</definedName>
    <definedName name="solver_rel11" localSheetId="17" hidden="1">3</definedName>
    <definedName name="solver_rel11" localSheetId="6" hidden="1">3</definedName>
    <definedName name="solver_rel11" localSheetId="9" hidden="1">3</definedName>
    <definedName name="solver_rel11" localSheetId="10" hidden="1">3</definedName>
    <definedName name="solver_rel11" localSheetId="11" hidden="1">3</definedName>
    <definedName name="solver_rel11" localSheetId="12" hidden="1">3</definedName>
    <definedName name="solver_rel11" localSheetId="13" hidden="1">3</definedName>
    <definedName name="solver_rel11" localSheetId="7" hidden="1">3</definedName>
    <definedName name="solver_rel11" localSheetId="5" hidden="1">3</definedName>
    <definedName name="solver_rel11" localSheetId="2" hidden="1">3</definedName>
    <definedName name="solver_rel12" localSheetId="14" hidden="1">1</definedName>
    <definedName name="solver_rel12" localSheetId="15" hidden="1">1</definedName>
    <definedName name="solver_rel12" localSheetId="16" hidden="1">1</definedName>
    <definedName name="solver_rel12" localSheetId="17" hidden="1">1</definedName>
    <definedName name="solver_rel12" localSheetId="6" hidden="1">1</definedName>
    <definedName name="solver_rel12" localSheetId="9" hidden="1">1</definedName>
    <definedName name="solver_rel12" localSheetId="10" hidden="1">1</definedName>
    <definedName name="solver_rel12" localSheetId="11" hidden="1">1</definedName>
    <definedName name="solver_rel12" localSheetId="12" hidden="1">1</definedName>
    <definedName name="solver_rel12" localSheetId="13" hidden="1">1</definedName>
    <definedName name="solver_rel12" localSheetId="7" hidden="1">1</definedName>
    <definedName name="solver_rel12" localSheetId="5" hidden="1">1</definedName>
    <definedName name="solver_rel12" localSheetId="2" hidden="1">1</definedName>
    <definedName name="solver_rel13" localSheetId="14" hidden="1">1</definedName>
    <definedName name="solver_rel13" localSheetId="15" hidden="1">1</definedName>
    <definedName name="solver_rel13" localSheetId="16" hidden="1">1</definedName>
    <definedName name="solver_rel13" localSheetId="17" hidden="1">1</definedName>
    <definedName name="solver_rel13" localSheetId="6" hidden="1">1</definedName>
    <definedName name="solver_rel13" localSheetId="9" hidden="1">1</definedName>
    <definedName name="solver_rel13" localSheetId="10" hidden="1">1</definedName>
    <definedName name="solver_rel13" localSheetId="11" hidden="1">1</definedName>
    <definedName name="solver_rel13" localSheetId="12" hidden="1">1</definedName>
    <definedName name="solver_rel13" localSheetId="13" hidden="1">1</definedName>
    <definedName name="solver_rel13" localSheetId="7" hidden="1">1</definedName>
    <definedName name="solver_rel13" localSheetId="5" hidden="1">1</definedName>
    <definedName name="solver_rel13" localSheetId="2" hidden="1">1</definedName>
    <definedName name="solver_rel14" localSheetId="14" hidden="1">3</definedName>
    <definedName name="solver_rel14" localSheetId="15" hidden="1">3</definedName>
    <definedName name="solver_rel14" localSheetId="16" hidden="1">3</definedName>
    <definedName name="solver_rel14" localSheetId="17" hidden="1">3</definedName>
    <definedName name="solver_rel14" localSheetId="6" hidden="1">3</definedName>
    <definedName name="solver_rel14" localSheetId="9" hidden="1">3</definedName>
    <definedName name="solver_rel14" localSheetId="10" hidden="1">3</definedName>
    <definedName name="solver_rel14" localSheetId="11" hidden="1">3</definedName>
    <definedName name="solver_rel14" localSheetId="12" hidden="1">3</definedName>
    <definedName name="solver_rel14" localSheetId="13" hidden="1">3</definedName>
    <definedName name="solver_rel14" localSheetId="7" hidden="1">3</definedName>
    <definedName name="solver_rel14" localSheetId="5" hidden="1">3</definedName>
    <definedName name="solver_rel14" localSheetId="2" hidden="1">3</definedName>
    <definedName name="solver_rel15" localSheetId="14" hidden="1">1</definedName>
    <definedName name="solver_rel15" localSheetId="15" hidden="1">1</definedName>
    <definedName name="solver_rel15" localSheetId="16" hidden="1">1</definedName>
    <definedName name="solver_rel15" localSheetId="17" hidden="1">1</definedName>
    <definedName name="solver_rel15" localSheetId="6" hidden="1">1</definedName>
    <definedName name="solver_rel15" localSheetId="9" hidden="1">1</definedName>
    <definedName name="solver_rel15" localSheetId="10" hidden="1">1</definedName>
    <definedName name="solver_rel15" localSheetId="11" hidden="1">1</definedName>
    <definedName name="solver_rel15" localSheetId="12" hidden="1">1</definedName>
    <definedName name="solver_rel15" localSheetId="13" hidden="1">1</definedName>
    <definedName name="solver_rel15" localSheetId="7" hidden="1">1</definedName>
    <definedName name="solver_rel15" localSheetId="5" hidden="1">1</definedName>
    <definedName name="solver_rel15" localSheetId="2" hidden="1">1</definedName>
    <definedName name="solver_rel16" localSheetId="14" hidden="1">1</definedName>
    <definedName name="solver_rel16" localSheetId="15" hidden="1">1</definedName>
    <definedName name="solver_rel16" localSheetId="16" hidden="1">1</definedName>
    <definedName name="solver_rel16" localSheetId="17" hidden="1">1</definedName>
    <definedName name="solver_rel16" localSheetId="6" hidden="1">1</definedName>
    <definedName name="solver_rel16" localSheetId="10" hidden="1">1</definedName>
    <definedName name="solver_rel16" localSheetId="11" hidden="1">1</definedName>
    <definedName name="solver_rel16" localSheetId="12" hidden="1">1</definedName>
    <definedName name="solver_rel16" localSheetId="13" hidden="1">1</definedName>
    <definedName name="solver_rel16" localSheetId="7" hidden="1">1</definedName>
    <definedName name="solver_rel16" localSheetId="5" hidden="1">1</definedName>
    <definedName name="solver_rel16" localSheetId="2" hidden="1">1</definedName>
    <definedName name="solver_rel17" localSheetId="14" hidden="1">3</definedName>
    <definedName name="solver_rel17" localSheetId="15" hidden="1">3</definedName>
    <definedName name="solver_rel17" localSheetId="16" hidden="1">3</definedName>
    <definedName name="solver_rel17" localSheetId="17" hidden="1">3</definedName>
    <definedName name="solver_rel17" localSheetId="6" hidden="1">3</definedName>
    <definedName name="solver_rel17" localSheetId="10" hidden="1">3</definedName>
    <definedName name="solver_rel17" localSheetId="11" hidden="1">3</definedName>
    <definedName name="solver_rel17" localSheetId="12" hidden="1">3</definedName>
    <definedName name="solver_rel17" localSheetId="13" hidden="1">3</definedName>
    <definedName name="solver_rel17" localSheetId="7" hidden="1">3</definedName>
    <definedName name="solver_rel17" localSheetId="5" hidden="1">3</definedName>
    <definedName name="solver_rel17" localSheetId="2" hidden="1">3</definedName>
    <definedName name="solver_rel18" localSheetId="14" hidden="1">1</definedName>
    <definedName name="solver_rel18" localSheetId="15" hidden="1">1</definedName>
    <definedName name="solver_rel18" localSheetId="16" hidden="1">1</definedName>
    <definedName name="solver_rel18" localSheetId="17" hidden="1">1</definedName>
    <definedName name="solver_rel18" localSheetId="6" hidden="1">1</definedName>
    <definedName name="solver_rel18" localSheetId="10" hidden="1">1</definedName>
    <definedName name="solver_rel18" localSheetId="11" hidden="1">1</definedName>
    <definedName name="solver_rel18" localSheetId="12" hidden="1">1</definedName>
    <definedName name="solver_rel18" localSheetId="13" hidden="1">1</definedName>
    <definedName name="solver_rel18" localSheetId="7" hidden="1">1</definedName>
    <definedName name="solver_rel18" localSheetId="5" hidden="1">1</definedName>
    <definedName name="solver_rel18" localSheetId="2" hidden="1">1</definedName>
    <definedName name="solver_rel19" localSheetId="14" hidden="1">1</definedName>
    <definedName name="solver_rel19" localSheetId="15" hidden="1">1</definedName>
    <definedName name="solver_rel19" localSheetId="16" hidden="1">1</definedName>
    <definedName name="solver_rel19" localSheetId="17" hidden="1">1</definedName>
    <definedName name="solver_rel19" localSheetId="6" hidden="1">1</definedName>
    <definedName name="solver_rel19" localSheetId="10" hidden="1">1</definedName>
    <definedName name="solver_rel19" localSheetId="11" hidden="1">1</definedName>
    <definedName name="solver_rel19" localSheetId="12" hidden="1">1</definedName>
    <definedName name="solver_rel19" localSheetId="13" hidden="1">1</definedName>
    <definedName name="solver_rel19" localSheetId="7" hidden="1">1</definedName>
    <definedName name="solver_rel19" localSheetId="5" hidden="1">1</definedName>
    <definedName name="solver_rel19" localSheetId="2" hidden="1">1</definedName>
    <definedName name="solver_rel2" localSheetId="14" hidden="1">3</definedName>
    <definedName name="solver_rel2" localSheetId="15" hidden="1">3</definedName>
    <definedName name="solver_rel2" localSheetId="16" hidden="1">3</definedName>
    <definedName name="solver_rel2" localSheetId="17" hidden="1">3</definedName>
    <definedName name="solver_rel2" localSheetId="6" hidden="1">3</definedName>
    <definedName name="solver_rel2" localSheetId="9" hidden="1">3</definedName>
    <definedName name="solver_rel2" localSheetId="10" hidden="1">3</definedName>
    <definedName name="solver_rel2" localSheetId="11" hidden="1">3</definedName>
    <definedName name="solver_rel2" localSheetId="12" hidden="1">3</definedName>
    <definedName name="solver_rel2" localSheetId="13" hidden="1">3</definedName>
    <definedName name="solver_rel2" localSheetId="7" hidden="1">1</definedName>
    <definedName name="solver_rel2" localSheetId="5" hidden="1">1</definedName>
    <definedName name="solver_rel2" localSheetId="2" hidden="1">3</definedName>
    <definedName name="solver_rel2" localSheetId="3" hidden="1">3</definedName>
    <definedName name="solver_rel20" localSheetId="14" hidden="1">3</definedName>
    <definedName name="solver_rel20" localSheetId="15" hidden="1">3</definedName>
    <definedName name="solver_rel20" localSheetId="16" hidden="1">3</definedName>
    <definedName name="solver_rel20" localSheetId="17" hidden="1">3</definedName>
    <definedName name="solver_rel20" localSheetId="6" hidden="1">3</definedName>
    <definedName name="solver_rel20" localSheetId="10" hidden="1">3</definedName>
    <definedName name="solver_rel20" localSheetId="11" hidden="1">3</definedName>
    <definedName name="solver_rel20" localSheetId="12" hidden="1">3</definedName>
    <definedName name="solver_rel20" localSheetId="13" hidden="1">3</definedName>
    <definedName name="solver_rel20" localSheetId="7" hidden="1">3</definedName>
    <definedName name="solver_rel20" localSheetId="5" hidden="1">3</definedName>
    <definedName name="solver_rel20" localSheetId="2" hidden="1">3</definedName>
    <definedName name="solver_rel21" localSheetId="14" hidden="1">1</definedName>
    <definedName name="solver_rel21" localSheetId="15" hidden="1">1</definedName>
    <definedName name="solver_rel21" localSheetId="16" hidden="1">1</definedName>
    <definedName name="solver_rel21" localSheetId="17" hidden="1">1</definedName>
    <definedName name="solver_rel21" localSheetId="6" hidden="1">1</definedName>
    <definedName name="solver_rel21" localSheetId="10" hidden="1">1</definedName>
    <definedName name="solver_rel21" localSheetId="11" hidden="1">1</definedName>
    <definedName name="solver_rel21" localSheetId="12" hidden="1">1</definedName>
    <definedName name="solver_rel21" localSheetId="13" hidden="1">1</definedName>
    <definedName name="solver_rel21" localSheetId="7" hidden="1">1</definedName>
    <definedName name="solver_rel21" localSheetId="5" hidden="1">1</definedName>
    <definedName name="solver_rel21" localSheetId="2" hidden="1">1</definedName>
    <definedName name="solver_rel22" localSheetId="14" hidden="1">1</definedName>
    <definedName name="solver_rel22" localSheetId="15" hidden="1">1</definedName>
    <definedName name="solver_rel22" localSheetId="16" hidden="1">1</definedName>
    <definedName name="solver_rel22" localSheetId="17" hidden="1">1</definedName>
    <definedName name="solver_rel22" localSheetId="6" hidden="1">1</definedName>
    <definedName name="solver_rel22" localSheetId="10" hidden="1">1</definedName>
    <definedName name="solver_rel22" localSheetId="11" hidden="1">1</definedName>
    <definedName name="solver_rel22" localSheetId="12" hidden="1">1</definedName>
    <definedName name="solver_rel22" localSheetId="13" hidden="1">1</definedName>
    <definedName name="solver_rel22" localSheetId="7" hidden="1">1</definedName>
    <definedName name="solver_rel22" localSheetId="5" hidden="1">1</definedName>
    <definedName name="solver_rel22" localSheetId="2" hidden="1">1</definedName>
    <definedName name="solver_rel23" localSheetId="14" hidden="1">3</definedName>
    <definedName name="solver_rel23" localSheetId="15" hidden="1">3</definedName>
    <definedName name="solver_rel23" localSheetId="16" hidden="1">3</definedName>
    <definedName name="solver_rel23" localSheetId="17" hidden="1">3</definedName>
    <definedName name="solver_rel23" localSheetId="6" hidden="1">3</definedName>
    <definedName name="solver_rel23" localSheetId="10" hidden="1">3</definedName>
    <definedName name="solver_rel23" localSheetId="11" hidden="1">3</definedName>
    <definedName name="solver_rel23" localSheetId="12" hidden="1">3</definedName>
    <definedName name="solver_rel23" localSheetId="13" hidden="1">3</definedName>
    <definedName name="solver_rel23" localSheetId="7" hidden="1">3</definedName>
    <definedName name="solver_rel23" localSheetId="5" hidden="1">3</definedName>
    <definedName name="solver_rel23" localSheetId="2" hidden="1">3</definedName>
    <definedName name="solver_rel24" localSheetId="14" hidden="1">1</definedName>
    <definedName name="solver_rel24" localSheetId="15" hidden="1">1</definedName>
    <definedName name="solver_rel24" localSheetId="16" hidden="1">1</definedName>
    <definedName name="solver_rel24" localSheetId="17" hidden="1">1</definedName>
    <definedName name="solver_rel24" localSheetId="6" hidden="1">1</definedName>
    <definedName name="solver_rel24" localSheetId="10" hidden="1">1</definedName>
    <definedName name="solver_rel24" localSheetId="11" hidden="1">1</definedName>
    <definedName name="solver_rel24" localSheetId="12" hidden="1">1</definedName>
    <definedName name="solver_rel24" localSheetId="13" hidden="1">1</definedName>
    <definedName name="solver_rel24" localSheetId="7" hidden="1">1</definedName>
    <definedName name="solver_rel24" localSheetId="5" hidden="1">1</definedName>
    <definedName name="solver_rel24" localSheetId="2" hidden="1">1</definedName>
    <definedName name="solver_rel25" localSheetId="14" hidden="1">1</definedName>
    <definedName name="solver_rel25" localSheetId="15" hidden="1">1</definedName>
    <definedName name="solver_rel25" localSheetId="16" hidden="1">1</definedName>
    <definedName name="solver_rel25" localSheetId="17" hidden="1">1</definedName>
    <definedName name="solver_rel25" localSheetId="6" hidden="1">1</definedName>
    <definedName name="solver_rel25" localSheetId="11" hidden="1">1</definedName>
    <definedName name="solver_rel25" localSheetId="12" hidden="1">1</definedName>
    <definedName name="solver_rel25" localSheetId="13" hidden="1">1</definedName>
    <definedName name="solver_rel25" localSheetId="7" hidden="1">1</definedName>
    <definedName name="solver_rel25" localSheetId="5" hidden="1">1</definedName>
    <definedName name="solver_rel25" localSheetId="2" hidden="1">1</definedName>
    <definedName name="solver_rel26" localSheetId="14" hidden="1">3</definedName>
    <definedName name="solver_rel26" localSheetId="15" hidden="1">3</definedName>
    <definedName name="solver_rel26" localSheetId="16" hidden="1">3</definedName>
    <definedName name="solver_rel26" localSheetId="17" hidden="1">3</definedName>
    <definedName name="solver_rel26" localSheetId="6" hidden="1">3</definedName>
    <definedName name="solver_rel26" localSheetId="11" hidden="1">3</definedName>
    <definedName name="solver_rel26" localSheetId="12" hidden="1">3</definedName>
    <definedName name="solver_rel26" localSheetId="13" hidden="1">3</definedName>
    <definedName name="solver_rel26" localSheetId="7" hidden="1">3</definedName>
    <definedName name="solver_rel26" localSheetId="5" hidden="1">3</definedName>
    <definedName name="solver_rel26" localSheetId="2" hidden="1">3</definedName>
    <definedName name="solver_rel27" localSheetId="14" hidden="1">1</definedName>
    <definedName name="solver_rel27" localSheetId="15" hidden="1">1</definedName>
    <definedName name="solver_rel27" localSheetId="16" hidden="1">1</definedName>
    <definedName name="solver_rel27" localSheetId="17" hidden="1">1</definedName>
    <definedName name="solver_rel27" localSheetId="6" hidden="1">1</definedName>
    <definedName name="solver_rel27" localSheetId="11" hidden="1">1</definedName>
    <definedName name="solver_rel27" localSheetId="12" hidden="1">1</definedName>
    <definedName name="solver_rel27" localSheetId="13" hidden="1">1</definedName>
    <definedName name="solver_rel27" localSheetId="7" hidden="1">1</definedName>
    <definedName name="solver_rel27" localSheetId="5" hidden="1">1</definedName>
    <definedName name="solver_rel27" localSheetId="2" hidden="1">1</definedName>
    <definedName name="solver_rel28" localSheetId="14" hidden="1">1</definedName>
    <definedName name="solver_rel28" localSheetId="15" hidden="1">1</definedName>
    <definedName name="solver_rel28" localSheetId="16" hidden="1">1</definedName>
    <definedName name="solver_rel28" localSheetId="17" hidden="1">1</definedName>
    <definedName name="solver_rel28" localSheetId="6" hidden="1">1</definedName>
    <definedName name="solver_rel28" localSheetId="11" hidden="1">1</definedName>
    <definedName name="solver_rel28" localSheetId="12" hidden="1">1</definedName>
    <definedName name="solver_rel28" localSheetId="13" hidden="1">1</definedName>
    <definedName name="solver_rel28" localSheetId="7" hidden="1">1</definedName>
    <definedName name="solver_rel28" localSheetId="5" hidden="1">1</definedName>
    <definedName name="solver_rel28" localSheetId="2" hidden="1">1</definedName>
    <definedName name="solver_rel29" localSheetId="14" hidden="1">3</definedName>
    <definedName name="solver_rel29" localSheetId="15" hidden="1">3</definedName>
    <definedName name="solver_rel29" localSheetId="16" hidden="1">3</definedName>
    <definedName name="solver_rel29" localSheetId="17" hidden="1">3</definedName>
    <definedName name="solver_rel29" localSheetId="6" hidden="1">3</definedName>
    <definedName name="solver_rel29" localSheetId="11" hidden="1">3</definedName>
    <definedName name="solver_rel29" localSheetId="12" hidden="1">3</definedName>
    <definedName name="solver_rel29" localSheetId="13" hidden="1">3</definedName>
    <definedName name="solver_rel29" localSheetId="7" hidden="1">3</definedName>
    <definedName name="solver_rel29" localSheetId="5" hidden="1">3</definedName>
    <definedName name="solver_rel29" localSheetId="2" hidden="1">3</definedName>
    <definedName name="solver_rel3" localSheetId="14" hidden="1">1</definedName>
    <definedName name="solver_rel3" localSheetId="15" hidden="1">1</definedName>
    <definedName name="solver_rel3" localSheetId="16" hidden="1">1</definedName>
    <definedName name="solver_rel3" localSheetId="17" hidden="1">1</definedName>
    <definedName name="solver_rel3" localSheetId="6" hidden="1">1</definedName>
    <definedName name="solver_rel3" localSheetId="9" hidden="1">1</definedName>
    <definedName name="solver_rel3" localSheetId="10" hidden="1">1</definedName>
    <definedName name="solver_rel3" localSheetId="11" hidden="1">1</definedName>
    <definedName name="solver_rel3" localSheetId="12" hidden="1">1</definedName>
    <definedName name="solver_rel3" localSheetId="13" hidden="1">1</definedName>
    <definedName name="solver_rel3" localSheetId="7" hidden="1">3</definedName>
    <definedName name="solver_rel3" localSheetId="5" hidden="1">1</definedName>
    <definedName name="solver_rel3" localSheetId="2" hidden="1">1</definedName>
    <definedName name="solver_rel3" localSheetId="3" hidden="1">1</definedName>
    <definedName name="solver_rel30" localSheetId="14" hidden="1">1</definedName>
    <definedName name="solver_rel30" localSheetId="15" hidden="1">1</definedName>
    <definedName name="solver_rel30" localSheetId="16" hidden="1">1</definedName>
    <definedName name="solver_rel30" localSheetId="17" hidden="1">1</definedName>
    <definedName name="solver_rel30" localSheetId="6" hidden="1">1</definedName>
    <definedName name="solver_rel30" localSheetId="11" hidden="1">1</definedName>
    <definedName name="solver_rel30" localSheetId="12" hidden="1">1</definedName>
    <definedName name="solver_rel30" localSheetId="13" hidden="1">1</definedName>
    <definedName name="solver_rel30" localSheetId="7" hidden="1">1</definedName>
    <definedName name="solver_rel30" localSheetId="5" hidden="1">1</definedName>
    <definedName name="solver_rel30" localSheetId="2" hidden="1">1</definedName>
    <definedName name="solver_rel31" localSheetId="14" hidden="1">1</definedName>
    <definedName name="solver_rel31" localSheetId="15" hidden="1">1</definedName>
    <definedName name="solver_rel31" localSheetId="16" hidden="1">1</definedName>
    <definedName name="solver_rel31" localSheetId="17" hidden="1">1</definedName>
    <definedName name="solver_rel31" localSheetId="6" hidden="1">1</definedName>
    <definedName name="solver_rel31" localSheetId="11" hidden="1">1</definedName>
    <definedName name="solver_rel31" localSheetId="12" hidden="1">1</definedName>
    <definedName name="solver_rel31" localSheetId="13" hidden="1">1</definedName>
    <definedName name="solver_rel31" localSheetId="7" hidden="1">1</definedName>
    <definedName name="solver_rel31" localSheetId="5" hidden="1">1</definedName>
    <definedName name="solver_rel31" localSheetId="2" hidden="1">1</definedName>
    <definedName name="solver_rel32" localSheetId="14" hidden="1">3</definedName>
    <definedName name="solver_rel32" localSheetId="15" hidden="1">3</definedName>
    <definedName name="solver_rel32" localSheetId="16" hidden="1">3</definedName>
    <definedName name="solver_rel32" localSheetId="17" hidden="1">3</definedName>
    <definedName name="solver_rel32" localSheetId="6" hidden="1">3</definedName>
    <definedName name="solver_rel32" localSheetId="11" hidden="1">3</definedName>
    <definedName name="solver_rel32" localSheetId="12" hidden="1">3</definedName>
    <definedName name="solver_rel32" localSheetId="13" hidden="1">3</definedName>
    <definedName name="solver_rel32" localSheetId="7" hidden="1">3</definedName>
    <definedName name="solver_rel32" localSheetId="5" hidden="1">3</definedName>
    <definedName name="solver_rel32" localSheetId="2" hidden="1">3</definedName>
    <definedName name="solver_rel33" localSheetId="14" hidden="1">1</definedName>
    <definedName name="solver_rel33" localSheetId="15" hidden="1">1</definedName>
    <definedName name="solver_rel33" localSheetId="16" hidden="1">1</definedName>
    <definedName name="solver_rel33" localSheetId="17" hidden="1">1</definedName>
    <definedName name="solver_rel33" localSheetId="6" hidden="1">1</definedName>
    <definedName name="solver_rel33" localSheetId="11" hidden="1">1</definedName>
    <definedName name="solver_rel33" localSheetId="12" hidden="1">1</definedName>
    <definedName name="solver_rel33" localSheetId="13" hidden="1">1</definedName>
    <definedName name="solver_rel33" localSheetId="7" hidden="1">1</definedName>
    <definedName name="solver_rel33" localSheetId="5" hidden="1">1</definedName>
    <definedName name="solver_rel33" localSheetId="2" hidden="1">1</definedName>
    <definedName name="solver_rel34" localSheetId="14" hidden="1">1</definedName>
    <definedName name="solver_rel34" localSheetId="15" hidden="1">1</definedName>
    <definedName name="solver_rel34" localSheetId="16" hidden="1">1</definedName>
    <definedName name="solver_rel34" localSheetId="17" hidden="1">1</definedName>
    <definedName name="solver_rel34" localSheetId="6" hidden="1">1</definedName>
    <definedName name="solver_rel34" localSheetId="11" hidden="1">1</definedName>
    <definedName name="solver_rel34" localSheetId="7" hidden="1">1</definedName>
    <definedName name="solver_rel34" localSheetId="5" hidden="1">1</definedName>
    <definedName name="solver_rel34" localSheetId="2" hidden="1">1</definedName>
    <definedName name="solver_rel35" localSheetId="14" hidden="1">3</definedName>
    <definedName name="solver_rel35" localSheetId="15" hidden="1">3</definedName>
    <definedName name="solver_rel35" localSheetId="16" hidden="1">3</definedName>
    <definedName name="solver_rel35" localSheetId="17" hidden="1">3</definedName>
    <definedName name="solver_rel35" localSheetId="6" hidden="1">3</definedName>
    <definedName name="solver_rel35" localSheetId="11" hidden="1">3</definedName>
    <definedName name="solver_rel35" localSheetId="7" hidden="1">3</definedName>
    <definedName name="solver_rel35" localSheetId="5" hidden="1">3</definedName>
    <definedName name="solver_rel35" localSheetId="2" hidden="1">3</definedName>
    <definedName name="solver_rel36" localSheetId="14" hidden="1">1</definedName>
    <definedName name="solver_rel36" localSheetId="15" hidden="1">1</definedName>
    <definedName name="solver_rel36" localSheetId="16" hidden="1">1</definedName>
    <definedName name="solver_rel36" localSheetId="17" hidden="1">1</definedName>
    <definedName name="solver_rel36" localSheetId="6" hidden="1">1</definedName>
    <definedName name="solver_rel36" localSheetId="11" hidden="1">1</definedName>
    <definedName name="solver_rel36" localSheetId="7" hidden="1">1</definedName>
    <definedName name="solver_rel36" localSheetId="5" hidden="1">1</definedName>
    <definedName name="solver_rel36" localSheetId="2" hidden="1">1</definedName>
    <definedName name="solver_rel37" localSheetId="14" hidden="1">1</definedName>
    <definedName name="solver_rel37" localSheetId="15" hidden="1">1</definedName>
    <definedName name="solver_rel37" localSheetId="16" hidden="1">1</definedName>
    <definedName name="solver_rel37" localSheetId="17" hidden="1">1</definedName>
    <definedName name="solver_rel37" localSheetId="6" hidden="1">1</definedName>
    <definedName name="solver_rel37" localSheetId="11" hidden="1">1</definedName>
    <definedName name="solver_rel37" localSheetId="7" hidden="1">1</definedName>
    <definedName name="solver_rel37" localSheetId="5" hidden="1">1</definedName>
    <definedName name="solver_rel37" localSheetId="2" hidden="1">1</definedName>
    <definedName name="solver_rel38" localSheetId="14" hidden="1">3</definedName>
    <definedName name="solver_rel38" localSheetId="15" hidden="1">3</definedName>
    <definedName name="solver_rel38" localSheetId="16" hidden="1">3</definedName>
    <definedName name="solver_rel38" localSheetId="17" hidden="1">3</definedName>
    <definedName name="solver_rel38" localSheetId="6" hidden="1">3</definedName>
    <definedName name="solver_rel38" localSheetId="11" hidden="1">3</definedName>
    <definedName name="solver_rel38" localSheetId="7" hidden="1">3</definedName>
    <definedName name="solver_rel38" localSheetId="5" hidden="1">3</definedName>
    <definedName name="solver_rel38" localSheetId="2" hidden="1">3</definedName>
    <definedName name="solver_rel39" localSheetId="14" hidden="1">1</definedName>
    <definedName name="solver_rel39" localSheetId="15" hidden="1">1</definedName>
    <definedName name="solver_rel39" localSheetId="16" hidden="1">1</definedName>
    <definedName name="solver_rel39" localSheetId="17" hidden="1">1</definedName>
    <definedName name="solver_rel39" localSheetId="6" hidden="1">1</definedName>
    <definedName name="solver_rel39" localSheetId="11" hidden="1">1</definedName>
    <definedName name="solver_rel39" localSheetId="7" hidden="1">1</definedName>
    <definedName name="solver_rel39" localSheetId="5" hidden="1">1</definedName>
    <definedName name="solver_rel39" localSheetId="2" hidden="1">1</definedName>
    <definedName name="solver_rel4" localSheetId="14" hidden="1">1</definedName>
    <definedName name="solver_rel4" localSheetId="15" hidden="1">1</definedName>
    <definedName name="solver_rel4" localSheetId="16" hidden="1">1</definedName>
    <definedName name="solver_rel4" localSheetId="17" hidden="1">1</definedName>
    <definedName name="solver_rel4" localSheetId="6" hidden="1">1</definedName>
    <definedName name="solver_rel4" localSheetId="9" hidden="1">1</definedName>
    <definedName name="solver_rel4" localSheetId="10" hidden="1">1</definedName>
    <definedName name="solver_rel4" localSheetId="11" hidden="1">1</definedName>
    <definedName name="solver_rel4" localSheetId="12" hidden="1">1</definedName>
    <definedName name="solver_rel4" localSheetId="13" hidden="1">1</definedName>
    <definedName name="solver_rel4" localSheetId="7" hidden="1">1</definedName>
    <definedName name="solver_rel4" localSheetId="5" hidden="1">1</definedName>
    <definedName name="solver_rel4" localSheetId="2" hidden="1">1</definedName>
    <definedName name="solver_rel4" localSheetId="3" hidden="1">3</definedName>
    <definedName name="solver_rel40" localSheetId="14" hidden="1">1</definedName>
    <definedName name="solver_rel40" localSheetId="15" hidden="1">1</definedName>
    <definedName name="solver_rel40" localSheetId="16" hidden="1">1</definedName>
    <definedName name="solver_rel40" localSheetId="17" hidden="1">1</definedName>
    <definedName name="solver_rel40" localSheetId="6" hidden="1">1</definedName>
    <definedName name="solver_rel40" localSheetId="7" hidden="1">1</definedName>
    <definedName name="solver_rel40" localSheetId="5" hidden="1">1</definedName>
    <definedName name="solver_rel40" localSheetId="2" hidden="1">1</definedName>
    <definedName name="solver_rel41" localSheetId="14" hidden="1">3</definedName>
    <definedName name="solver_rel41" localSheetId="15" hidden="1">3</definedName>
    <definedName name="solver_rel41" localSheetId="16" hidden="1">3</definedName>
    <definedName name="solver_rel41" localSheetId="17" hidden="1">3</definedName>
    <definedName name="solver_rel41" localSheetId="6" hidden="1">3</definedName>
    <definedName name="solver_rel41" localSheetId="7" hidden="1">3</definedName>
    <definedName name="solver_rel41" localSheetId="5" hidden="1">3</definedName>
    <definedName name="solver_rel41" localSheetId="2" hidden="1">3</definedName>
    <definedName name="solver_rel42" localSheetId="14" hidden="1">1</definedName>
    <definedName name="solver_rel42" localSheetId="15" hidden="1">1</definedName>
    <definedName name="solver_rel42" localSheetId="16" hidden="1">1</definedName>
    <definedName name="solver_rel42" localSheetId="17" hidden="1">1</definedName>
    <definedName name="solver_rel42" localSheetId="6" hidden="1">1</definedName>
    <definedName name="solver_rel42" localSheetId="7" hidden="1">1</definedName>
    <definedName name="solver_rel42" localSheetId="5" hidden="1">1</definedName>
    <definedName name="solver_rel42" localSheetId="2" hidden="1">1</definedName>
    <definedName name="solver_rel43" localSheetId="14" hidden="1">1</definedName>
    <definedName name="solver_rel43" localSheetId="15" hidden="1">1</definedName>
    <definedName name="solver_rel43" localSheetId="16" hidden="1">1</definedName>
    <definedName name="solver_rel43" localSheetId="17" hidden="1">1</definedName>
    <definedName name="solver_rel43" localSheetId="6" hidden="1">1</definedName>
    <definedName name="solver_rel43" localSheetId="7" hidden="1">1</definedName>
    <definedName name="solver_rel43" localSheetId="5" hidden="1">1</definedName>
    <definedName name="solver_rel44" localSheetId="14" hidden="1">3</definedName>
    <definedName name="solver_rel44" localSheetId="15" hidden="1">3</definedName>
    <definedName name="solver_rel44" localSheetId="16" hidden="1">3</definedName>
    <definedName name="solver_rel44" localSheetId="17" hidden="1">3</definedName>
    <definedName name="solver_rel44" localSheetId="6" hidden="1">3</definedName>
    <definedName name="solver_rel44" localSheetId="7" hidden="1">3</definedName>
    <definedName name="solver_rel44" localSheetId="5" hidden="1">3</definedName>
    <definedName name="solver_rel45" localSheetId="14" hidden="1">1</definedName>
    <definedName name="solver_rel45" localSheetId="15" hidden="1">1</definedName>
    <definedName name="solver_rel45" localSheetId="16" hidden="1">1</definedName>
    <definedName name="solver_rel45" localSheetId="17" hidden="1">1</definedName>
    <definedName name="solver_rel45" localSheetId="6" hidden="1">1</definedName>
    <definedName name="solver_rel45" localSheetId="7" hidden="1">1</definedName>
    <definedName name="solver_rel45" localSheetId="5" hidden="1">1</definedName>
    <definedName name="solver_rel46" localSheetId="14" hidden="1">1</definedName>
    <definedName name="solver_rel46" localSheetId="15" hidden="1">1</definedName>
    <definedName name="solver_rel46" localSheetId="16" hidden="1">1</definedName>
    <definedName name="solver_rel46" localSheetId="17" hidden="1">1</definedName>
    <definedName name="solver_rel46" localSheetId="6" hidden="1">1</definedName>
    <definedName name="solver_rel46" localSheetId="7" hidden="1">1</definedName>
    <definedName name="solver_rel46" localSheetId="5" hidden="1">1</definedName>
    <definedName name="solver_rel47" localSheetId="14" hidden="1">3</definedName>
    <definedName name="solver_rel47" localSheetId="15" hidden="1">3</definedName>
    <definedName name="solver_rel47" localSheetId="16" hidden="1">3</definedName>
    <definedName name="solver_rel47" localSheetId="17" hidden="1">3</definedName>
    <definedName name="solver_rel47" localSheetId="6" hidden="1">3</definedName>
    <definedName name="solver_rel47" localSheetId="7" hidden="1">3</definedName>
    <definedName name="solver_rel47" localSheetId="5" hidden="1">3</definedName>
    <definedName name="solver_rel48" localSheetId="14" hidden="1">1</definedName>
    <definedName name="solver_rel48" localSheetId="15" hidden="1">1</definedName>
    <definedName name="solver_rel48" localSheetId="16" hidden="1">1</definedName>
    <definedName name="solver_rel48" localSheetId="17" hidden="1">1</definedName>
    <definedName name="solver_rel48" localSheetId="6" hidden="1">1</definedName>
    <definedName name="solver_rel48" localSheetId="7" hidden="1">1</definedName>
    <definedName name="solver_rel48" localSheetId="5" hidden="1">1</definedName>
    <definedName name="solver_rel49" localSheetId="14" hidden="1">1</definedName>
    <definedName name="solver_rel49" localSheetId="15" hidden="1">1</definedName>
    <definedName name="solver_rel49" localSheetId="16" hidden="1">1</definedName>
    <definedName name="solver_rel49" localSheetId="17" hidden="1">1</definedName>
    <definedName name="solver_rel49" localSheetId="6" hidden="1">1</definedName>
    <definedName name="solver_rel49" localSheetId="7" hidden="1">1</definedName>
    <definedName name="solver_rel49" localSheetId="5" hidden="1">1</definedName>
    <definedName name="solver_rel5" localSheetId="14" hidden="1">3</definedName>
    <definedName name="solver_rel5" localSheetId="15" hidden="1">3</definedName>
    <definedName name="solver_rel5" localSheetId="16" hidden="1">3</definedName>
    <definedName name="solver_rel5" localSheetId="17" hidden="1">3</definedName>
    <definedName name="solver_rel5" localSheetId="6" hidden="1">3</definedName>
    <definedName name="solver_rel5" localSheetId="9" hidden="1">3</definedName>
    <definedName name="solver_rel5" localSheetId="10" hidden="1">3</definedName>
    <definedName name="solver_rel5" localSheetId="11" hidden="1">3</definedName>
    <definedName name="solver_rel5" localSheetId="12" hidden="1">3</definedName>
    <definedName name="solver_rel5" localSheetId="13" hidden="1">3</definedName>
    <definedName name="solver_rel5" localSheetId="7" hidden="1">3</definedName>
    <definedName name="solver_rel5" localSheetId="5" hidden="1">1</definedName>
    <definedName name="solver_rel5" localSheetId="2" hidden="1">3</definedName>
    <definedName name="solver_rel50" localSheetId="14" hidden="1">3</definedName>
    <definedName name="solver_rel50" localSheetId="15" hidden="1">3</definedName>
    <definedName name="solver_rel50" localSheetId="16" hidden="1">3</definedName>
    <definedName name="solver_rel50" localSheetId="17" hidden="1">3</definedName>
    <definedName name="solver_rel50" localSheetId="6" hidden="1">3</definedName>
    <definedName name="solver_rel50" localSheetId="7" hidden="1">3</definedName>
    <definedName name="solver_rel50" localSheetId="5" hidden="1">3</definedName>
    <definedName name="solver_rel51" localSheetId="14" hidden="1">1</definedName>
    <definedName name="solver_rel51" localSheetId="15" hidden="1">1</definedName>
    <definedName name="solver_rel51" localSheetId="16" hidden="1">1</definedName>
    <definedName name="solver_rel51" localSheetId="17" hidden="1">1</definedName>
    <definedName name="solver_rel51" localSheetId="6" hidden="1">1</definedName>
    <definedName name="solver_rel51" localSheetId="7" hidden="1">1</definedName>
    <definedName name="solver_rel51" localSheetId="5" hidden="1">1</definedName>
    <definedName name="solver_rel52" localSheetId="14" hidden="1">1</definedName>
    <definedName name="solver_rel52" localSheetId="15" hidden="1">1</definedName>
    <definedName name="solver_rel52" localSheetId="16" hidden="1">1</definedName>
    <definedName name="solver_rel52" localSheetId="17" hidden="1">1</definedName>
    <definedName name="solver_rel52" localSheetId="6" hidden="1">1</definedName>
    <definedName name="solver_rel52" localSheetId="7" hidden="1">1</definedName>
    <definedName name="solver_rel52" localSheetId="5" hidden="1">1</definedName>
    <definedName name="solver_rel53" localSheetId="14" hidden="1">3</definedName>
    <definedName name="solver_rel53" localSheetId="15" hidden="1">3</definedName>
    <definedName name="solver_rel53" localSheetId="16" hidden="1">3</definedName>
    <definedName name="solver_rel53" localSheetId="17" hidden="1">3</definedName>
    <definedName name="solver_rel53" localSheetId="6" hidden="1">3</definedName>
    <definedName name="solver_rel53" localSheetId="7" hidden="1">3</definedName>
    <definedName name="solver_rel53" localSheetId="5" hidden="1">3</definedName>
    <definedName name="solver_rel54" localSheetId="14" hidden="1">1</definedName>
    <definedName name="solver_rel54" localSheetId="15" hidden="1">1</definedName>
    <definedName name="solver_rel54" localSheetId="16" hidden="1">1</definedName>
    <definedName name="solver_rel54" localSheetId="17" hidden="1">1</definedName>
    <definedName name="solver_rel54" localSheetId="6" hidden="1">1</definedName>
    <definedName name="solver_rel54" localSheetId="7" hidden="1">1</definedName>
    <definedName name="solver_rel54" localSheetId="5" hidden="1">1</definedName>
    <definedName name="solver_rel55" localSheetId="7" hidden="1">1</definedName>
    <definedName name="solver_rel55" localSheetId="5" hidden="1">1</definedName>
    <definedName name="solver_rel56" localSheetId="7" hidden="1">3</definedName>
    <definedName name="solver_rel56" localSheetId="5" hidden="1">3</definedName>
    <definedName name="solver_rel57" localSheetId="7" hidden="1">1</definedName>
    <definedName name="solver_rel57" localSheetId="5" hidden="1">1</definedName>
    <definedName name="solver_rel58" localSheetId="7" hidden="1">1</definedName>
    <definedName name="solver_rel58" localSheetId="5" hidden="1">1</definedName>
    <definedName name="solver_rel59" localSheetId="7" hidden="1">3</definedName>
    <definedName name="solver_rel59" localSheetId="5" hidden="1">3</definedName>
    <definedName name="solver_rel6" localSheetId="14" hidden="1">1</definedName>
    <definedName name="solver_rel6" localSheetId="15" hidden="1">1</definedName>
    <definedName name="solver_rel6" localSheetId="16" hidden="1">1</definedName>
    <definedName name="solver_rel6" localSheetId="17" hidden="1">1</definedName>
    <definedName name="solver_rel6" localSheetId="6" hidden="1">1</definedName>
    <definedName name="solver_rel6" localSheetId="9" hidden="1">1</definedName>
    <definedName name="solver_rel6" localSheetId="10" hidden="1">1</definedName>
    <definedName name="solver_rel6" localSheetId="11" hidden="1">1</definedName>
    <definedName name="solver_rel6" localSheetId="12" hidden="1">1</definedName>
    <definedName name="solver_rel6" localSheetId="13" hidden="1">1</definedName>
    <definedName name="solver_rel6" localSheetId="7" hidden="1">1</definedName>
    <definedName name="solver_rel6" localSheetId="5" hidden="1">1</definedName>
    <definedName name="solver_rel6" localSheetId="2" hidden="1">1</definedName>
    <definedName name="solver_rel60" localSheetId="7" hidden="1">1</definedName>
    <definedName name="solver_rel60" localSheetId="5" hidden="1">1</definedName>
    <definedName name="solver_rel61" localSheetId="5" hidden="1">1</definedName>
    <definedName name="solver_rel62" localSheetId="5" hidden="1">3</definedName>
    <definedName name="solver_rel63" localSheetId="5" hidden="1">1</definedName>
    <definedName name="solver_rel64" localSheetId="5" hidden="1">1</definedName>
    <definedName name="solver_rel65" localSheetId="5" hidden="1">3</definedName>
    <definedName name="solver_rel66" localSheetId="5" hidden="1">1</definedName>
    <definedName name="solver_rel67" localSheetId="5" hidden="1">1</definedName>
    <definedName name="solver_rel68" localSheetId="5" hidden="1">3</definedName>
    <definedName name="solver_rel69" localSheetId="5" hidden="1">1</definedName>
    <definedName name="solver_rel7" localSheetId="14" hidden="1">1</definedName>
    <definedName name="solver_rel7" localSheetId="15" hidden="1">1</definedName>
    <definedName name="solver_rel7" localSheetId="16" hidden="1">1</definedName>
    <definedName name="solver_rel7" localSheetId="17" hidden="1">1</definedName>
    <definedName name="solver_rel7" localSheetId="6" hidden="1">1</definedName>
    <definedName name="solver_rel7" localSheetId="9" hidden="1">1</definedName>
    <definedName name="solver_rel7" localSheetId="10" hidden="1">1</definedName>
    <definedName name="solver_rel7" localSheetId="11" hidden="1">1</definedName>
    <definedName name="solver_rel7" localSheetId="12" hidden="1">1</definedName>
    <definedName name="solver_rel7" localSheetId="13" hidden="1">1</definedName>
    <definedName name="solver_rel7" localSheetId="7" hidden="1">1</definedName>
    <definedName name="solver_rel7" localSheetId="5" hidden="1">3</definedName>
    <definedName name="solver_rel7" localSheetId="2" hidden="1">1</definedName>
    <definedName name="solver_rel70" localSheetId="5" hidden="1">1</definedName>
    <definedName name="solver_rel71" localSheetId="5" hidden="1">3</definedName>
    <definedName name="solver_rel72" localSheetId="5" hidden="1">1</definedName>
    <definedName name="solver_rel73" localSheetId="5" hidden="1">1</definedName>
    <definedName name="solver_rel74" localSheetId="5" hidden="1">3</definedName>
    <definedName name="solver_rel75" localSheetId="5" hidden="1">1</definedName>
    <definedName name="solver_rel76" localSheetId="5" hidden="1">1</definedName>
    <definedName name="solver_rel77" localSheetId="5" hidden="1">3</definedName>
    <definedName name="solver_rel78" localSheetId="5" hidden="1">1</definedName>
    <definedName name="solver_rel79" localSheetId="5" hidden="1">1</definedName>
    <definedName name="solver_rel8" localSheetId="14" hidden="1">3</definedName>
    <definedName name="solver_rel8" localSheetId="15" hidden="1">3</definedName>
    <definedName name="solver_rel8" localSheetId="16" hidden="1">3</definedName>
    <definedName name="solver_rel8" localSheetId="17" hidden="1">3</definedName>
    <definedName name="solver_rel8" localSheetId="6" hidden="1">3</definedName>
    <definedName name="solver_rel8" localSheetId="9" hidden="1">3</definedName>
    <definedName name="solver_rel8" localSheetId="10" hidden="1">3</definedName>
    <definedName name="solver_rel8" localSheetId="11" hidden="1">3</definedName>
    <definedName name="solver_rel8" localSheetId="12" hidden="1">3</definedName>
    <definedName name="solver_rel8" localSheetId="13" hidden="1">3</definedName>
    <definedName name="solver_rel8" localSheetId="7" hidden="1">3</definedName>
    <definedName name="solver_rel8" localSheetId="5" hidden="1">3</definedName>
    <definedName name="solver_rel8" localSheetId="2" hidden="1">3</definedName>
    <definedName name="solver_rel80" localSheetId="5" hidden="1">3</definedName>
    <definedName name="solver_rel81" localSheetId="5" hidden="1">1</definedName>
    <definedName name="solver_rel82" localSheetId="5" hidden="1">1</definedName>
    <definedName name="solver_rel83" localSheetId="5" hidden="1">3</definedName>
    <definedName name="solver_rel84" localSheetId="5" hidden="1">1</definedName>
    <definedName name="solver_rel85" localSheetId="5" hidden="1">1</definedName>
    <definedName name="solver_rel86" localSheetId="5" hidden="1">3</definedName>
    <definedName name="solver_rel87" localSheetId="5" hidden="1">1</definedName>
    <definedName name="solver_rel88" localSheetId="5" hidden="1">1</definedName>
    <definedName name="solver_rel89" localSheetId="5" hidden="1">3</definedName>
    <definedName name="solver_rel9" localSheetId="14" hidden="1">1</definedName>
    <definedName name="solver_rel9" localSheetId="15" hidden="1">1</definedName>
    <definedName name="solver_rel9" localSheetId="16" hidden="1">1</definedName>
    <definedName name="solver_rel9" localSheetId="17" hidden="1">1</definedName>
    <definedName name="solver_rel9" localSheetId="6" hidden="1">1</definedName>
    <definedName name="solver_rel9" localSheetId="9" hidden="1">1</definedName>
    <definedName name="solver_rel9" localSheetId="10" hidden="1">1</definedName>
    <definedName name="solver_rel9" localSheetId="11" hidden="1">1</definedName>
    <definedName name="solver_rel9" localSheetId="12" hidden="1">1</definedName>
    <definedName name="solver_rel9" localSheetId="13" hidden="1">1</definedName>
    <definedName name="solver_rel9" localSheetId="7" hidden="1">1</definedName>
    <definedName name="solver_rel9" localSheetId="5" hidden="1">3</definedName>
    <definedName name="solver_rel9" localSheetId="2" hidden="1">1</definedName>
    <definedName name="solver_rel90" localSheetId="5" hidden="1">1</definedName>
    <definedName name="solver_rel91" localSheetId="5" hidden="1">1</definedName>
    <definedName name="solver_rel92" localSheetId="5" hidden="1">3</definedName>
    <definedName name="solver_rel93" localSheetId="5" hidden="1">1</definedName>
    <definedName name="solver_rel94" localSheetId="5" hidden="1">1</definedName>
    <definedName name="solver_rel95" localSheetId="5" hidden="1">3</definedName>
    <definedName name="solver_rel96" localSheetId="5" hidden="1">1</definedName>
    <definedName name="solver_rel97" localSheetId="5" hidden="1">1</definedName>
    <definedName name="solver_rel98" localSheetId="5" hidden="1">3</definedName>
    <definedName name="solver_rel99" localSheetId="5" hidden="1">1</definedName>
    <definedName name="solver_rhs1" localSheetId="14" hidden="1">1000</definedName>
    <definedName name="solver_rhs1" localSheetId="15" hidden="1">1000</definedName>
    <definedName name="solver_rhs1" localSheetId="16" hidden="1">1000</definedName>
    <definedName name="solver_rhs1" localSheetId="17" hidden="1">1000</definedName>
    <definedName name="solver_rhs1" localSheetId="6" hidden="1">1000</definedName>
    <definedName name="solver_rhs1" localSheetId="9" hidden="1">1000</definedName>
    <definedName name="solver_rhs1" localSheetId="10" hidden="1">1000</definedName>
    <definedName name="solver_rhs1" localSheetId="11" hidden="1">1000</definedName>
    <definedName name="solver_rhs1" localSheetId="12" hidden="1">1000</definedName>
    <definedName name="solver_rhs1" localSheetId="13" hidden="1">1000</definedName>
    <definedName name="solver_rhs1" localSheetId="7" hidden="1">1.2</definedName>
    <definedName name="solver_rhs1" localSheetId="5" hidden="1">1.2</definedName>
    <definedName name="solver_rhs1" localSheetId="2" hidden="1">1000</definedName>
    <definedName name="solver_rhs1" localSheetId="3" hidden="1">1000</definedName>
    <definedName name="solver_rhs10" localSheetId="14" hidden="1">1000</definedName>
    <definedName name="solver_rhs10" localSheetId="15" hidden="1">1000</definedName>
    <definedName name="solver_rhs10" localSheetId="16" hidden="1">1000</definedName>
    <definedName name="solver_rhs10" localSheetId="17" hidden="1">1000</definedName>
    <definedName name="solver_rhs10" localSheetId="6" hidden="1">1000</definedName>
    <definedName name="solver_rhs10" localSheetId="9" hidden="1">1000</definedName>
    <definedName name="solver_rhs10" localSheetId="10" hidden="1">1000</definedName>
    <definedName name="solver_rhs10" localSheetId="11" hidden="1">1000</definedName>
    <definedName name="solver_rhs10" localSheetId="12" hidden="1">1000</definedName>
    <definedName name="solver_rhs10" localSheetId="13" hidden="1">1000</definedName>
    <definedName name="solver_rhs10" localSheetId="7" hidden="1">1000</definedName>
    <definedName name="solver_rhs10" localSheetId="5" hidden="1">1000</definedName>
    <definedName name="solver_rhs10" localSheetId="2" hidden="1">1000</definedName>
    <definedName name="solver_rhs100" localSheetId="5" hidden="1">1000</definedName>
    <definedName name="solver_rhs101" localSheetId="5" hidden="1">1+0.0000000001</definedName>
    <definedName name="solver_rhs102" localSheetId="5" hidden="1">1.2</definedName>
    <definedName name="solver_rhs103" localSheetId="5" hidden="1">1000</definedName>
    <definedName name="solver_rhs104" localSheetId="5" hidden="1">1+0.0000000001</definedName>
    <definedName name="solver_rhs105" localSheetId="5" hidden="1">1.2</definedName>
    <definedName name="solver_rhs106" localSheetId="5" hidden="1">1000</definedName>
    <definedName name="solver_rhs107" localSheetId="5" hidden="1">1+0.0000000001</definedName>
    <definedName name="solver_rhs108" localSheetId="5" hidden="1">1.2</definedName>
    <definedName name="solver_rhs11" localSheetId="14" hidden="1">1+0.0000000001</definedName>
    <definedName name="solver_rhs11" localSheetId="15" hidden="1">1+0.0000000001</definedName>
    <definedName name="solver_rhs11" localSheetId="16" hidden="1">1+0.0000000001</definedName>
    <definedName name="solver_rhs11" localSheetId="17" hidden="1">1+0.0000000001</definedName>
    <definedName name="solver_rhs11" localSheetId="6" hidden="1">1+0.0000000001</definedName>
    <definedName name="solver_rhs11" localSheetId="9" hidden="1">1+0.0000000001</definedName>
    <definedName name="solver_rhs11" localSheetId="10" hidden="1">1+0.0000000001</definedName>
    <definedName name="solver_rhs11" localSheetId="11" hidden="1">1+0.0000000001</definedName>
    <definedName name="solver_rhs11" localSheetId="12" hidden="1">1+0.0000000001</definedName>
    <definedName name="solver_rhs11" localSheetId="13" hidden="1">1+0.0000000001</definedName>
    <definedName name="solver_rhs11" localSheetId="7" hidden="1">1+0.0000000001</definedName>
    <definedName name="solver_rhs11" localSheetId="5" hidden="1">1+0.0000000001</definedName>
    <definedName name="solver_rhs11" localSheetId="2" hidden="1">1+0.0000000001</definedName>
    <definedName name="solver_rhs12" localSheetId="14" hidden="1">1.2</definedName>
    <definedName name="solver_rhs12" localSheetId="15" hidden="1">1.2</definedName>
    <definedName name="solver_rhs12" localSheetId="16" hidden="1">1.2</definedName>
    <definedName name="solver_rhs12" localSheetId="17" hidden="1">1.2</definedName>
    <definedName name="solver_rhs12" localSheetId="6" hidden="1">1.2</definedName>
    <definedName name="solver_rhs12" localSheetId="9" hidden="1">1.2</definedName>
    <definedName name="solver_rhs12" localSheetId="10" hidden="1">1.2</definedName>
    <definedName name="solver_rhs12" localSheetId="11" hidden="1">1.2</definedName>
    <definedName name="solver_rhs12" localSheetId="12" hidden="1">1.2</definedName>
    <definedName name="solver_rhs12" localSheetId="13" hidden="1">1.2</definedName>
    <definedName name="solver_rhs12" localSheetId="7" hidden="1">1.2</definedName>
    <definedName name="solver_rhs12" localSheetId="5" hidden="1">1.2</definedName>
    <definedName name="solver_rhs12" localSheetId="2" hidden="1">1.2</definedName>
    <definedName name="solver_rhs13" localSheetId="14" hidden="1">1000</definedName>
    <definedName name="solver_rhs13" localSheetId="15" hidden="1">1000</definedName>
    <definedName name="solver_rhs13" localSheetId="16" hidden="1">1000</definedName>
    <definedName name="solver_rhs13" localSheetId="17" hidden="1">1000</definedName>
    <definedName name="solver_rhs13" localSheetId="6" hidden="1">1000</definedName>
    <definedName name="solver_rhs13" localSheetId="9" hidden="1">1000</definedName>
    <definedName name="solver_rhs13" localSheetId="10" hidden="1">1000</definedName>
    <definedName name="solver_rhs13" localSheetId="11" hidden="1">1000</definedName>
    <definedName name="solver_rhs13" localSheetId="12" hidden="1">1000</definedName>
    <definedName name="solver_rhs13" localSheetId="13" hidden="1">1000</definedName>
    <definedName name="solver_rhs13" localSheetId="7" hidden="1">1000</definedName>
    <definedName name="solver_rhs13" localSheetId="5" hidden="1">1000</definedName>
    <definedName name="solver_rhs13" localSheetId="2" hidden="1">1000</definedName>
    <definedName name="solver_rhs14" localSheetId="14" hidden="1">1+0.0000000001</definedName>
    <definedName name="solver_rhs14" localSheetId="15" hidden="1">1+0.0000000001</definedName>
    <definedName name="solver_rhs14" localSheetId="16" hidden="1">1+0.0000000001</definedName>
    <definedName name="solver_rhs14" localSheetId="17" hidden="1">1+0.0000000001</definedName>
    <definedName name="solver_rhs14" localSheetId="6" hidden="1">1+0.0000000001</definedName>
    <definedName name="solver_rhs14" localSheetId="9" hidden="1">1+0.0000000001</definedName>
    <definedName name="solver_rhs14" localSheetId="10" hidden="1">1+0.0000000001</definedName>
    <definedName name="solver_rhs14" localSheetId="11" hidden="1">1+0.0000000001</definedName>
    <definedName name="solver_rhs14" localSheetId="12" hidden="1">1+0.0000000001</definedName>
    <definedName name="solver_rhs14" localSheetId="13" hidden="1">1+0.0000000001</definedName>
    <definedName name="solver_rhs14" localSheetId="7" hidden="1">1+0.0000000001</definedName>
    <definedName name="solver_rhs14" localSheetId="5" hidden="1">1+0.0000000001</definedName>
    <definedName name="solver_rhs14" localSheetId="2" hidden="1">1+0.0000000001</definedName>
    <definedName name="solver_rhs15" localSheetId="14" hidden="1">1.2</definedName>
    <definedName name="solver_rhs15" localSheetId="15" hidden="1">1.2</definedName>
    <definedName name="solver_rhs15" localSheetId="16" hidden="1">1.2</definedName>
    <definedName name="solver_rhs15" localSheetId="17" hidden="1">1.2</definedName>
    <definedName name="solver_rhs15" localSheetId="6" hidden="1">1.2</definedName>
    <definedName name="solver_rhs15" localSheetId="9" hidden="1">1.2</definedName>
    <definedName name="solver_rhs15" localSheetId="10" hidden="1">1.2</definedName>
    <definedName name="solver_rhs15" localSheetId="11" hidden="1">1.2</definedName>
    <definedName name="solver_rhs15" localSheetId="12" hidden="1">1.2</definedName>
    <definedName name="solver_rhs15" localSheetId="13" hidden="1">1.2</definedName>
    <definedName name="solver_rhs15" localSheetId="7" hidden="1">1.2</definedName>
    <definedName name="solver_rhs15" localSheetId="5" hidden="1">1.2</definedName>
    <definedName name="solver_rhs15" localSheetId="2" hidden="1">1.2</definedName>
    <definedName name="solver_rhs16" localSheetId="14" hidden="1">1000</definedName>
    <definedName name="solver_rhs16" localSheetId="15" hidden="1">1000</definedName>
    <definedName name="solver_rhs16" localSheetId="16" hidden="1">1000</definedName>
    <definedName name="solver_rhs16" localSheetId="17" hidden="1">1000</definedName>
    <definedName name="solver_rhs16" localSheetId="6" hidden="1">1000</definedName>
    <definedName name="solver_rhs16" localSheetId="10" hidden="1">1000</definedName>
    <definedName name="solver_rhs16" localSheetId="11" hidden="1">1000</definedName>
    <definedName name="solver_rhs16" localSheetId="12" hidden="1">1000</definedName>
    <definedName name="solver_rhs16" localSheetId="13" hidden="1">1000</definedName>
    <definedName name="solver_rhs16" localSheetId="7" hidden="1">1000</definedName>
    <definedName name="solver_rhs16" localSheetId="5" hidden="1">1000</definedName>
    <definedName name="solver_rhs16" localSheetId="2" hidden="1">1000</definedName>
    <definedName name="solver_rhs17" localSheetId="14" hidden="1">1+0.0000000001</definedName>
    <definedName name="solver_rhs17" localSheetId="15" hidden="1">1+0.0000000001</definedName>
    <definedName name="solver_rhs17" localSheetId="16" hidden="1">1+0.0000000001</definedName>
    <definedName name="solver_rhs17" localSheetId="17" hidden="1">1+0.0000000001</definedName>
    <definedName name="solver_rhs17" localSheetId="6" hidden="1">1+0.0000000001</definedName>
    <definedName name="solver_rhs17" localSheetId="10" hidden="1">1+0.0000000001</definedName>
    <definedName name="solver_rhs17" localSheetId="11" hidden="1">1+0.0000000001</definedName>
    <definedName name="solver_rhs17" localSheetId="12" hidden="1">1+0.0000000001</definedName>
    <definedName name="solver_rhs17" localSheetId="13" hidden="1">1+0.0000000001</definedName>
    <definedName name="solver_rhs17" localSheetId="7" hidden="1">1+0.0000000001</definedName>
    <definedName name="solver_rhs17" localSheetId="5" hidden="1">1+0.0000000001</definedName>
    <definedName name="solver_rhs17" localSheetId="2" hidden="1">1+0.0000000001</definedName>
    <definedName name="solver_rhs18" localSheetId="14" hidden="1">1.2</definedName>
    <definedName name="solver_rhs18" localSheetId="15" hidden="1">1.2</definedName>
    <definedName name="solver_rhs18" localSheetId="16" hidden="1">1.2</definedName>
    <definedName name="solver_rhs18" localSheetId="17" hidden="1">1.2</definedName>
    <definedName name="solver_rhs18" localSheetId="6" hidden="1">1.2</definedName>
    <definedName name="solver_rhs18" localSheetId="10" hidden="1">1.2</definedName>
    <definedName name="solver_rhs18" localSheetId="11" hidden="1">1.2</definedName>
    <definedName name="solver_rhs18" localSheetId="12" hidden="1">1.2</definedName>
    <definedName name="solver_rhs18" localSheetId="13" hidden="1">1.2</definedName>
    <definedName name="solver_rhs18" localSheetId="7" hidden="1">1.2</definedName>
    <definedName name="solver_rhs18" localSheetId="5" hidden="1">1.2</definedName>
    <definedName name="solver_rhs18" localSheetId="2" hidden="1">1.2</definedName>
    <definedName name="solver_rhs19" localSheetId="14" hidden="1">1000</definedName>
    <definedName name="solver_rhs19" localSheetId="15" hidden="1">1000</definedName>
    <definedName name="solver_rhs19" localSheetId="16" hidden="1">1000</definedName>
    <definedName name="solver_rhs19" localSheetId="17" hidden="1">1000</definedName>
    <definedName name="solver_rhs19" localSheetId="6" hidden="1">1000</definedName>
    <definedName name="solver_rhs19" localSheetId="10" hidden="1">1000</definedName>
    <definedName name="solver_rhs19" localSheetId="11" hidden="1">1000</definedName>
    <definedName name="solver_rhs19" localSheetId="12" hidden="1">1000</definedName>
    <definedName name="solver_rhs19" localSheetId="13" hidden="1">1000</definedName>
    <definedName name="solver_rhs19" localSheetId="7" hidden="1">1000</definedName>
    <definedName name="solver_rhs19" localSheetId="5" hidden="1">1000</definedName>
    <definedName name="solver_rhs19" localSheetId="2" hidden="1">1000</definedName>
    <definedName name="solver_rhs2" localSheetId="14" hidden="1">1+0.0000000001</definedName>
    <definedName name="solver_rhs2" localSheetId="15" hidden="1">1+0.0000000001</definedName>
    <definedName name="solver_rhs2" localSheetId="16" hidden="1">1+0.0000000001</definedName>
    <definedName name="solver_rhs2" localSheetId="17" hidden="1">1+0.0000000001</definedName>
    <definedName name="solver_rhs2" localSheetId="6" hidden="1">1+0.0000000001</definedName>
    <definedName name="solver_rhs2" localSheetId="9" hidden="1">1+0.0000000001</definedName>
    <definedName name="solver_rhs2" localSheetId="10" hidden="1">1+0.0000000001</definedName>
    <definedName name="solver_rhs2" localSheetId="11" hidden="1">1+0.0000000001</definedName>
    <definedName name="solver_rhs2" localSheetId="12" hidden="1">1+0.0000000001</definedName>
    <definedName name="solver_rhs2" localSheetId="13" hidden="1">1+0.0000000001</definedName>
    <definedName name="solver_rhs2" localSheetId="7" hidden="1">1000</definedName>
    <definedName name="solver_rhs2" localSheetId="5" hidden="1">1.2</definedName>
    <definedName name="solver_rhs2" localSheetId="2" hidden="1">1+0.0000000001</definedName>
    <definedName name="solver_rhs2" localSheetId="3" hidden="1">1+0.0000000001</definedName>
    <definedName name="solver_rhs20" localSheetId="14" hidden="1">1+0.0000000001</definedName>
    <definedName name="solver_rhs20" localSheetId="15" hidden="1">1+0.0000000001</definedName>
    <definedName name="solver_rhs20" localSheetId="16" hidden="1">1+0.0000000001</definedName>
    <definedName name="solver_rhs20" localSheetId="17" hidden="1">1+0.0000000001</definedName>
    <definedName name="solver_rhs20" localSheetId="6" hidden="1">1+0.0000000001</definedName>
    <definedName name="solver_rhs20" localSheetId="10" hidden="1">1+0.0000000001</definedName>
    <definedName name="solver_rhs20" localSheetId="11" hidden="1">1+0.0000000001</definedName>
    <definedName name="solver_rhs20" localSheetId="12" hidden="1">1+0.0000000001</definedName>
    <definedName name="solver_rhs20" localSheetId="13" hidden="1">1+0.0000000001</definedName>
    <definedName name="solver_rhs20" localSheetId="7" hidden="1">1+0.0000000001</definedName>
    <definedName name="solver_rhs20" localSheetId="5" hidden="1">1+0.0000000001</definedName>
    <definedName name="solver_rhs20" localSheetId="2" hidden="1">1+0.0000000001</definedName>
    <definedName name="solver_rhs21" localSheetId="14" hidden="1">1.2</definedName>
    <definedName name="solver_rhs21" localSheetId="15" hidden="1">1.2</definedName>
    <definedName name="solver_rhs21" localSheetId="16" hidden="1">1.2</definedName>
    <definedName name="solver_rhs21" localSheetId="17" hidden="1">1.2</definedName>
    <definedName name="solver_rhs21" localSheetId="6" hidden="1">1.2</definedName>
    <definedName name="solver_rhs21" localSheetId="10" hidden="1">1.2</definedName>
    <definedName name="solver_rhs21" localSheetId="11" hidden="1">1.2</definedName>
    <definedName name="solver_rhs21" localSheetId="12" hidden="1">1.2</definedName>
    <definedName name="solver_rhs21" localSheetId="13" hidden="1">1.2</definedName>
    <definedName name="solver_rhs21" localSheetId="7" hidden="1">1.2</definedName>
    <definedName name="solver_rhs21" localSheetId="5" hidden="1">1.2</definedName>
    <definedName name="solver_rhs21" localSheetId="2" hidden="1">1.2</definedName>
    <definedName name="solver_rhs22" localSheetId="14" hidden="1">1000</definedName>
    <definedName name="solver_rhs22" localSheetId="15" hidden="1">1000</definedName>
    <definedName name="solver_rhs22" localSheetId="16" hidden="1">1000</definedName>
    <definedName name="solver_rhs22" localSheetId="17" hidden="1">1000</definedName>
    <definedName name="solver_rhs22" localSheetId="6" hidden="1">1000</definedName>
    <definedName name="solver_rhs22" localSheetId="10" hidden="1">1000</definedName>
    <definedName name="solver_rhs22" localSheetId="11" hidden="1">1000</definedName>
    <definedName name="solver_rhs22" localSheetId="12" hidden="1">1000</definedName>
    <definedName name="solver_rhs22" localSheetId="13" hidden="1">1000</definedName>
    <definedName name="solver_rhs22" localSheetId="7" hidden="1">1000</definedName>
    <definedName name="solver_rhs22" localSheetId="5" hidden="1">1000</definedName>
    <definedName name="solver_rhs22" localSheetId="2" hidden="1">1000</definedName>
    <definedName name="solver_rhs23" localSheetId="14" hidden="1">1+0.0000000001</definedName>
    <definedName name="solver_rhs23" localSheetId="15" hidden="1">1+0.0000000001</definedName>
    <definedName name="solver_rhs23" localSheetId="16" hidden="1">1+0.0000000001</definedName>
    <definedName name="solver_rhs23" localSheetId="17" hidden="1">1+0.0000000001</definedName>
    <definedName name="solver_rhs23" localSheetId="6" hidden="1">1+0.0000000001</definedName>
    <definedName name="solver_rhs23" localSheetId="10" hidden="1">1+0.0000000001</definedName>
    <definedName name="solver_rhs23" localSheetId="11" hidden="1">1+0.0000000001</definedName>
    <definedName name="solver_rhs23" localSheetId="12" hidden="1">1+0.0000000001</definedName>
    <definedName name="solver_rhs23" localSheetId="13" hidden="1">1+0.0000000001</definedName>
    <definedName name="solver_rhs23" localSheetId="7" hidden="1">1+0.0000000001</definedName>
    <definedName name="solver_rhs23" localSheetId="5" hidden="1">1+0.0000000001</definedName>
    <definedName name="solver_rhs23" localSheetId="2" hidden="1">1+0.0000000001</definedName>
    <definedName name="solver_rhs24" localSheetId="14" hidden="1">1.2</definedName>
    <definedName name="solver_rhs24" localSheetId="15" hidden="1">1.2</definedName>
    <definedName name="solver_rhs24" localSheetId="16" hidden="1">1.2</definedName>
    <definedName name="solver_rhs24" localSheetId="17" hidden="1">1.2</definedName>
    <definedName name="solver_rhs24" localSheetId="6" hidden="1">1.2</definedName>
    <definedName name="solver_rhs24" localSheetId="10" hidden="1">1.2</definedName>
    <definedName name="solver_rhs24" localSheetId="11" hidden="1">1.2</definedName>
    <definedName name="solver_rhs24" localSheetId="12" hidden="1">1.2</definedName>
    <definedName name="solver_rhs24" localSheetId="13" hidden="1">1.2</definedName>
    <definedName name="solver_rhs24" localSheetId="7" hidden="1">1.2</definedName>
    <definedName name="solver_rhs24" localSheetId="5" hidden="1">1.2</definedName>
    <definedName name="solver_rhs24" localSheetId="2" hidden="1">1.2</definedName>
    <definedName name="solver_rhs25" localSheetId="14" hidden="1">1000</definedName>
    <definedName name="solver_rhs25" localSheetId="15" hidden="1">1000</definedName>
    <definedName name="solver_rhs25" localSheetId="16" hidden="1">1000</definedName>
    <definedName name="solver_rhs25" localSheetId="17" hidden="1">1000</definedName>
    <definedName name="solver_rhs25" localSheetId="6" hidden="1">1000</definedName>
    <definedName name="solver_rhs25" localSheetId="11" hidden="1">1000</definedName>
    <definedName name="solver_rhs25" localSheetId="12" hidden="1">1000</definedName>
    <definedName name="solver_rhs25" localSheetId="13" hidden="1">1000</definedName>
    <definedName name="solver_rhs25" localSheetId="7" hidden="1">1000</definedName>
    <definedName name="solver_rhs25" localSheetId="5" hidden="1">1000</definedName>
    <definedName name="solver_rhs25" localSheetId="2" hidden="1">1000</definedName>
    <definedName name="solver_rhs26" localSheetId="14" hidden="1">1+0.0000000001</definedName>
    <definedName name="solver_rhs26" localSheetId="15" hidden="1">1+0.0000000001</definedName>
    <definedName name="solver_rhs26" localSheetId="16" hidden="1">1+0.0000000001</definedName>
    <definedName name="solver_rhs26" localSheetId="17" hidden="1">1+0.0000000001</definedName>
    <definedName name="solver_rhs26" localSheetId="6" hidden="1">1+0.0000000001</definedName>
    <definedName name="solver_rhs26" localSheetId="11" hidden="1">1+0.0000000001</definedName>
    <definedName name="solver_rhs26" localSheetId="12" hidden="1">1+0.0000000001</definedName>
    <definedName name="solver_rhs26" localSheetId="13" hidden="1">1+0.0000000001</definedName>
    <definedName name="solver_rhs26" localSheetId="7" hidden="1">1+0.0000000001</definedName>
    <definedName name="solver_rhs26" localSheetId="5" hidden="1">1+0.0000000001</definedName>
    <definedName name="solver_rhs26" localSheetId="2" hidden="1">1+0.0000000001</definedName>
    <definedName name="solver_rhs27" localSheetId="14" hidden="1">1.2</definedName>
    <definedName name="solver_rhs27" localSheetId="15" hidden="1">1.2</definedName>
    <definedName name="solver_rhs27" localSheetId="16" hidden="1">1.2</definedName>
    <definedName name="solver_rhs27" localSheetId="17" hidden="1">1.2</definedName>
    <definedName name="solver_rhs27" localSheetId="6" hidden="1">1.2</definedName>
    <definedName name="solver_rhs27" localSheetId="11" hidden="1">1.2</definedName>
    <definedName name="solver_rhs27" localSheetId="12" hidden="1">1.2</definedName>
    <definedName name="solver_rhs27" localSheetId="13" hidden="1">1.2</definedName>
    <definedName name="solver_rhs27" localSheetId="7" hidden="1">1.2</definedName>
    <definedName name="solver_rhs27" localSheetId="5" hidden="1">1.2</definedName>
    <definedName name="solver_rhs27" localSheetId="2" hidden="1">1.2</definedName>
    <definedName name="solver_rhs28" localSheetId="14" hidden="1">1000</definedName>
    <definedName name="solver_rhs28" localSheetId="15" hidden="1">1000</definedName>
    <definedName name="solver_rhs28" localSheetId="16" hidden="1">1000</definedName>
    <definedName name="solver_rhs28" localSheetId="17" hidden="1">1000</definedName>
    <definedName name="solver_rhs28" localSheetId="6" hidden="1">1000</definedName>
    <definedName name="solver_rhs28" localSheetId="11" hidden="1">1000</definedName>
    <definedName name="solver_rhs28" localSheetId="12" hidden="1">1000</definedName>
    <definedName name="solver_rhs28" localSheetId="13" hidden="1">1000</definedName>
    <definedName name="solver_rhs28" localSheetId="7" hidden="1">1000</definedName>
    <definedName name="solver_rhs28" localSheetId="5" hidden="1">1000</definedName>
    <definedName name="solver_rhs28" localSheetId="2" hidden="1">1000</definedName>
    <definedName name="solver_rhs29" localSheetId="14" hidden="1">1+0.0000000001</definedName>
    <definedName name="solver_rhs29" localSheetId="15" hidden="1">1+0.0000000001</definedName>
    <definedName name="solver_rhs29" localSheetId="16" hidden="1">1+0.0000000001</definedName>
    <definedName name="solver_rhs29" localSheetId="17" hidden="1">1+0.0000000001</definedName>
    <definedName name="solver_rhs29" localSheetId="6" hidden="1">1+0.0000000001</definedName>
    <definedName name="solver_rhs29" localSheetId="11" hidden="1">1+0.0000000001</definedName>
    <definedName name="solver_rhs29" localSheetId="12" hidden="1">1+0.0000000001</definedName>
    <definedName name="solver_rhs29" localSheetId="13" hidden="1">1+0.0000000001</definedName>
    <definedName name="solver_rhs29" localSheetId="7" hidden="1">1+0.0000000001</definedName>
    <definedName name="solver_rhs29" localSheetId="5" hidden="1">1+0.0000000001</definedName>
    <definedName name="solver_rhs29" localSheetId="2" hidden="1">1+0.0000000001</definedName>
    <definedName name="solver_rhs3" localSheetId="14" hidden="1">1.2</definedName>
    <definedName name="solver_rhs3" localSheetId="15" hidden="1">1.2</definedName>
    <definedName name="solver_rhs3" localSheetId="16" hidden="1">1.2</definedName>
    <definedName name="solver_rhs3" localSheetId="17" hidden="1">1.2</definedName>
    <definedName name="solver_rhs3" localSheetId="6" hidden="1">1.2</definedName>
    <definedName name="solver_rhs3" localSheetId="9" hidden="1">1.2</definedName>
    <definedName name="solver_rhs3" localSheetId="10" hidden="1">1.2</definedName>
    <definedName name="solver_rhs3" localSheetId="11" hidden="1">1.2</definedName>
    <definedName name="solver_rhs3" localSheetId="12" hidden="1">1.2</definedName>
    <definedName name="solver_rhs3" localSheetId="13" hidden="1">1.2</definedName>
    <definedName name="solver_rhs3" localSheetId="7" hidden="1">1+0.0000000001</definedName>
    <definedName name="solver_rhs3" localSheetId="5" hidden="1">1.2</definedName>
    <definedName name="solver_rhs3" localSheetId="2" hidden="1">1.2</definedName>
    <definedName name="solver_rhs3" localSheetId="3" hidden="1">1000</definedName>
    <definedName name="solver_rhs30" localSheetId="14" hidden="1">1.2</definedName>
    <definedName name="solver_rhs30" localSheetId="15" hidden="1">1.2</definedName>
    <definedName name="solver_rhs30" localSheetId="16" hidden="1">1.2</definedName>
    <definedName name="solver_rhs30" localSheetId="17" hidden="1">1.2</definedName>
    <definedName name="solver_rhs30" localSheetId="6" hidden="1">1.2</definedName>
    <definedName name="solver_rhs30" localSheetId="11" hidden="1">1.2</definedName>
    <definedName name="solver_rhs30" localSheetId="12" hidden="1">1.2</definedName>
    <definedName name="solver_rhs30" localSheetId="13" hidden="1">1.2</definedName>
    <definedName name="solver_rhs30" localSheetId="7" hidden="1">1.2</definedName>
    <definedName name="solver_rhs30" localSheetId="5" hidden="1">1.2</definedName>
    <definedName name="solver_rhs30" localSheetId="2" hidden="1">1.2</definedName>
    <definedName name="solver_rhs31" localSheetId="14" hidden="1">1000</definedName>
    <definedName name="solver_rhs31" localSheetId="15" hidden="1">1000</definedName>
    <definedName name="solver_rhs31" localSheetId="16" hidden="1">1000</definedName>
    <definedName name="solver_rhs31" localSheetId="17" hidden="1">1000</definedName>
    <definedName name="solver_rhs31" localSheetId="6" hidden="1">1000</definedName>
    <definedName name="solver_rhs31" localSheetId="11" hidden="1">1000</definedName>
    <definedName name="solver_rhs31" localSheetId="12" hidden="1">1000</definedName>
    <definedName name="solver_rhs31" localSheetId="13" hidden="1">1000</definedName>
    <definedName name="solver_rhs31" localSheetId="7" hidden="1">1000</definedName>
    <definedName name="solver_rhs31" localSheetId="5" hidden="1">1000</definedName>
    <definedName name="solver_rhs31" localSheetId="2" hidden="1">1000</definedName>
    <definedName name="solver_rhs32" localSheetId="14" hidden="1">1+0.0000000001</definedName>
    <definedName name="solver_rhs32" localSheetId="15" hidden="1">1+0.0000000001</definedName>
    <definedName name="solver_rhs32" localSheetId="16" hidden="1">1+0.0000000001</definedName>
    <definedName name="solver_rhs32" localSheetId="17" hidden="1">1+0.0000000001</definedName>
    <definedName name="solver_rhs32" localSheetId="6" hidden="1">1+0.0000000001</definedName>
    <definedName name="solver_rhs32" localSheetId="11" hidden="1">1+0.0000000001</definedName>
    <definedName name="solver_rhs32" localSheetId="12" hidden="1">1+0.0000000001</definedName>
    <definedName name="solver_rhs32" localSheetId="13" hidden="1">1+0.0000000001</definedName>
    <definedName name="solver_rhs32" localSheetId="7" hidden="1">1+0.0000000001</definedName>
    <definedName name="solver_rhs32" localSheetId="5" hidden="1">1+0.0000000001</definedName>
    <definedName name="solver_rhs32" localSheetId="2" hidden="1">1+0.0000000001</definedName>
    <definedName name="solver_rhs33" localSheetId="14" hidden="1">1.2</definedName>
    <definedName name="solver_rhs33" localSheetId="15" hidden="1">1.2</definedName>
    <definedName name="solver_rhs33" localSheetId="16" hidden="1">1.2</definedName>
    <definedName name="solver_rhs33" localSheetId="17" hidden="1">1.2</definedName>
    <definedName name="solver_rhs33" localSheetId="6" hidden="1">1.2</definedName>
    <definedName name="solver_rhs33" localSheetId="11" hidden="1">1.2</definedName>
    <definedName name="solver_rhs33" localSheetId="12" hidden="1">1.2</definedName>
    <definedName name="solver_rhs33" localSheetId="13" hidden="1">1.2</definedName>
    <definedName name="solver_rhs33" localSheetId="7" hidden="1">1.2</definedName>
    <definedName name="solver_rhs33" localSheetId="5" hidden="1">1.2</definedName>
    <definedName name="solver_rhs33" localSheetId="2" hidden="1">1.2</definedName>
    <definedName name="solver_rhs34" localSheetId="14" hidden="1">1000</definedName>
    <definedName name="solver_rhs34" localSheetId="15" hidden="1">1000</definedName>
    <definedName name="solver_rhs34" localSheetId="16" hidden="1">1000</definedName>
    <definedName name="solver_rhs34" localSheetId="17" hidden="1">1000</definedName>
    <definedName name="solver_rhs34" localSheetId="6" hidden="1">1000</definedName>
    <definedName name="solver_rhs34" localSheetId="11" hidden="1">1000</definedName>
    <definedName name="solver_rhs34" localSheetId="7" hidden="1">1000</definedName>
    <definedName name="solver_rhs34" localSheetId="5" hidden="1">1000</definedName>
    <definedName name="solver_rhs34" localSheetId="2" hidden="1">1000</definedName>
    <definedName name="solver_rhs35" localSheetId="14" hidden="1">1+0.0000000001</definedName>
    <definedName name="solver_rhs35" localSheetId="15" hidden="1">1+0.0000000001</definedName>
    <definedName name="solver_rhs35" localSheetId="16" hidden="1">1+0.0000000001</definedName>
    <definedName name="solver_rhs35" localSheetId="17" hidden="1">1+0.0000000001</definedName>
    <definedName name="solver_rhs35" localSheetId="6" hidden="1">1+0.0000000001</definedName>
    <definedName name="solver_rhs35" localSheetId="11" hidden="1">1+0.0000000001</definedName>
    <definedName name="solver_rhs35" localSheetId="7" hidden="1">1+0.0000000001</definedName>
    <definedName name="solver_rhs35" localSheetId="5" hidden="1">1+0.0000000001</definedName>
    <definedName name="solver_rhs35" localSheetId="2" hidden="1">1+0.0000000001</definedName>
    <definedName name="solver_rhs36" localSheetId="14" hidden="1">1.2</definedName>
    <definedName name="solver_rhs36" localSheetId="15" hidden="1">1.2</definedName>
    <definedName name="solver_rhs36" localSheetId="16" hidden="1">1.2</definedName>
    <definedName name="solver_rhs36" localSheetId="17" hidden="1">1.2</definedName>
    <definedName name="solver_rhs36" localSheetId="6" hidden="1">1.2</definedName>
    <definedName name="solver_rhs36" localSheetId="11" hidden="1">1.2</definedName>
    <definedName name="solver_rhs36" localSheetId="7" hidden="1">1.2</definedName>
    <definedName name="solver_rhs36" localSheetId="5" hidden="1">1.2</definedName>
    <definedName name="solver_rhs36" localSheetId="2" hidden="1">1.2</definedName>
    <definedName name="solver_rhs37" localSheetId="14" hidden="1">1000</definedName>
    <definedName name="solver_rhs37" localSheetId="15" hidden="1">1000</definedName>
    <definedName name="solver_rhs37" localSheetId="16" hidden="1">1000</definedName>
    <definedName name="solver_rhs37" localSheetId="17" hidden="1">1000</definedName>
    <definedName name="solver_rhs37" localSheetId="6" hidden="1">1000</definedName>
    <definedName name="solver_rhs37" localSheetId="11" hidden="1">1000</definedName>
    <definedName name="solver_rhs37" localSheetId="7" hidden="1">1000</definedName>
    <definedName name="solver_rhs37" localSheetId="5" hidden="1">1000</definedName>
    <definedName name="solver_rhs37" localSheetId="2" hidden="1">1000</definedName>
    <definedName name="solver_rhs38" localSheetId="14" hidden="1">1+0.0000000001</definedName>
    <definedName name="solver_rhs38" localSheetId="15" hidden="1">1+0.0000000001</definedName>
    <definedName name="solver_rhs38" localSheetId="16" hidden="1">1+0.0000000001</definedName>
    <definedName name="solver_rhs38" localSheetId="17" hidden="1">1+0.0000000001</definedName>
    <definedName name="solver_rhs38" localSheetId="6" hidden="1">1+0.0000000001</definedName>
    <definedName name="solver_rhs38" localSheetId="11" hidden="1">1+0.0000000001</definedName>
    <definedName name="solver_rhs38" localSheetId="7" hidden="1">1+0.0000000001</definedName>
    <definedName name="solver_rhs38" localSheetId="5" hidden="1">1+0.0000000001</definedName>
    <definedName name="solver_rhs38" localSheetId="2" hidden="1">1+0.0000000001</definedName>
    <definedName name="solver_rhs39" localSheetId="14" hidden="1">1.2</definedName>
    <definedName name="solver_rhs39" localSheetId="15" hidden="1">1.2</definedName>
    <definedName name="solver_rhs39" localSheetId="16" hidden="1">1.2</definedName>
    <definedName name="solver_rhs39" localSheetId="17" hidden="1">1.2</definedName>
    <definedName name="solver_rhs39" localSheetId="6" hidden="1">1.2</definedName>
    <definedName name="solver_rhs39" localSheetId="11" hidden="1">1.2</definedName>
    <definedName name="solver_rhs39" localSheetId="7" hidden="1">1.2</definedName>
    <definedName name="solver_rhs39" localSheetId="5" hidden="1">1.2</definedName>
    <definedName name="solver_rhs39" localSheetId="2" hidden="1">1.2</definedName>
    <definedName name="solver_rhs4" localSheetId="14" hidden="1">1000</definedName>
    <definedName name="solver_rhs4" localSheetId="15" hidden="1">1000</definedName>
    <definedName name="solver_rhs4" localSheetId="16" hidden="1">1000</definedName>
    <definedName name="solver_rhs4" localSheetId="17" hidden="1">1000</definedName>
    <definedName name="solver_rhs4" localSheetId="6" hidden="1">1000</definedName>
    <definedName name="solver_rhs4" localSheetId="9" hidden="1">1000</definedName>
    <definedName name="solver_rhs4" localSheetId="10" hidden="1">1000</definedName>
    <definedName name="solver_rhs4" localSheetId="11" hidden="1">1000</definedName>
    <definedName name="solver_rhs4" localSheetId="12" hidden="1">1000</definedName>
    <definedName name="solver_rhs4" localSheetId="13" hidden="1">1000</definedName>
    <definedName name="solver_rhs4" localSheetId="7" hidden="1">1000</definedName>
    <definedName name="solver_rhs4" localSheetId="5" hidden="1">1000</definedName>
    <definedName name="solver_rhs4" localSheetId="2" hidden="1">1000</definedName>
    <definedName name="solver_rhs4" localSheetId="3" hidden="1">1</definedName>
    <definedName name="solver_rhs40" localSheetId="14" hidden="1">1000</definedName>
    <definedName name="solver_rhs40" localSheetId="15" hidden="1">1000</definedName>
    <definedName name="solver_rhs40" localSheetId="16" hidden="1">1000</definedName>
    <definedName name="solver_rhs40" localSheetId="17" hidden="1">1000</definedName>
    <definedName name="solver_rhs40" localSheetId="6" hidden="1">1000</definedName>
    <definedName name="solver_rhs40" localSheetId="7" hidden="1">1000</definedName>
    <definedName name="solver_rhs40" localSheetId="5" hidden="1">1000</definedName>
    <definedName name="solver_rhs40" localSheetId="2" hidden="1">1000</definedName>
    <definedName name="solver_rhs41" localSheetId="14" hidden="1">1+0.0000000001</definedName>
    <definedName name="solver_rhs41" localSheetId="15" hidden="1">1+0.0000000001</definedName>
    <definedName name="solver_rhs41" localSheetId="16" hidden="1">1+0.0000000001</definedName>
    <definedName name="solver_rhs41" localSheetId="17" hidden="1">1+0.0000000001</definedName>
    <definedName name="solver_rhs41" localSheetId="6" hidden="1">1+0.0000000001</definedName>
    <definedName name="solver_rhs41" localSheetId="7" hidden="1">1+0.0000000001</definedName>
    <definedName name="solver_rhs41" localSheetId="5" hidden="1">1+0.0000000001</definedName>
    <definedName name="solver_rhs41" localSheetId="2" hidden="1">1+0.0000000001</definedName>
    <definedName name="solver_rhs42" localSheetId="14" hidden="1">1.2</definedName>
    <definedName name="solver_rhs42" localSheetId="15" hidden="1">1.2</definedName>
    <definedName name="solver_rhs42" localSheetId="16" hidden="1">1.2</definedName>
    <definedName name="solver_rhs42" localSheetId="17" hidden="1">1.2</definedName>
    <definedName name="solver_rhs42" localSheetId="6" hidden="1">1.2</definedName>
    <definedName name="solver_rhs42" localSheetId="7" hidden="1">1.2</definedName>
    <definedName name="solver_rhs42" localSheetId="5" hidden="1">1.2</definedName>
    <definedName name="solver_rhs42" localSheetId="2" hidden="1">1.2</definedName>
    <definedName name="solver_rhs43" localSheetId="14" hidden="1">1000</definedName>
    <definedName name="solver_rhs43" localSheetId="15" hidden="1">1000</definedName>
    <definedName name="solver_rhs43" localSheetId="16" hidden="1">1000</definedName>
    <definedName name="solver_rhs43" localSheetId="17" hidden="1">1000</definedName>
    <definedName name="solver_rhs43" localSheetId="6" hidden="1">1000</definedName>
    <definedName name="solver_rhs43" localSheetId="7" hidden="1">1000</definedName>
    <definedName name="solver_rhs43" localSheetId="5" hidden="1">1000</definedName>
    <definedName name="solver_rhs44" localSheetId="14" hidden="1">1+0.0000000001</definedName>
    <definedName name="solver_rhs44" localSheetId="15" hidden="1">1+0.0000000001</definedName>
    <definedName name="solver_rhs44" localSheetId="16" hidden="1">1+0.0000000001</definedName>
    <definedName name="solver_rhs44" localSheetId="17" hidden="1">1+0.0000000001</definedName>
    <definedName name="solver_rhs44" localSheetId="6" hidden="1">1+0.0000000001</definedName>
    <definedName name="solver_rhs44" localSheetId="7" hidden="1">1+0.0000000001</definedName>
    <definedName name="solver_rhs44" localSheetId="5" hidden="1">1+0.0000000001</definedName>
    <definedName name="solver_rhs45" localSheetId="14" hidden="1">1.2</definedName>
    <definedName name="solver_rhs45" localSheetId="15" hidden="1">1.2</definedName>
    <definedName name="solver_rhs45" localSheetId="16" hidden="1">1.2</definedName>
    <definedName name="solver_rhs45" localSheetId="17" hidden="1">1.2</definedName>
    <definedName name="solver_rhs45" localSheetId="6" hidden="1">1.2</definedName>
    <definedName name="solver_rhs45" localSheetId="7" hidden="1">1.2</definedName>
    <definedName name="solver_rhs45" localSheetId="5" hidden="1">1.2</definedName>
    <definedName name="solver_rhs46" localSheetId="14" hidden="1">1000</definedName>
    <definedName name="solver_rhs46" localSheetId="15" hidden="1">1000</definedName>
    <definedName name="solver_rhs46" localSheetId="16" hidden="1">1000</definedName>
    <definedName name="solver_rhs46" localSheetId="17" hidden="1">1000</definedName>
    <definedName name="solver_rhs46" localSheetId="6" hidden="1">1000</definedName>
    <definedName name="solver_rhs46" localSheetId="7" hidden="1">1000</definedName>
    <definedName name="solver_rhs46" localSheetId="5" hidden="1">1000</definedName>
    <definedName name="solver_rhs47" localSheetId="14" hidden="1">1+0.0000000001</definedName>
    <definedName name="solver_rhs47" localSheetId="15" hidden="1">1+0.0000000001</definedName>
    <definedName name="solver_rhs47" localSheetId="16" hidden="1">1+0.0000000001</definedName>
    <definedName name="solver_rhs47" localSheetId="17" hidden="1">1+0.0000000001</definedName>
    <definedName name="solver_rhs47" localSheetId="6" hidden="1">1+0.0000000001</definedName>
    <definedName name="solver_rhs47" localSheetId="7" hidden="1">1+0.0000000001</definedName>
    <definedName name="solver_rhs47" localSheetId="5" hidden="1">1+0.0000000001</definedName>
    <definedName name="solver_rhs48" localSheetId="14" hidden="1">1.2</definedName>
    <definedName name="solver_rhs48" localSheetId="15" hidden="1">1.2</definedName>
    <definedName name="solver_rhs48" localSheetId="16" hidden="1">1.2</definedName>
    <definedName name="solver_rhs48" localSheetId="17" hidden="1">1.2</definedName>
    <definedName name="solver_rhs48" localSheetId="6" hidden="1">1.2</definedName>
    <definedName name="solver_rhs48" localSheetId="7" hidden="1">1.2</definedName>
    <definedName name="solver_rhs48" localSheetId="5" hidden="1">1.2</definedName>
    <definedName name="solver_rhs49" localSheetId="14" hidden="1">1000</definedName>
    <definedName name="solver_rhs49" localSheetId="15" hidden="1">1000</definedName>
    <definedName name="solver_rhs49" localSheetId="16" hidden="1">1000</definedName>
    <definedName name="solver_rhs49" localSheetId="17" hidden="1">1000</definedName>
    <definedName name="solver_rhs49" localSheetId="6" hidden="1">1000</definedName>
    <definedName name="solver_rhs49" localSheetId="7" hidden="1">1000</definedName>
    <definedName name="solver_rhs49" localSheetId="5" hidden="1">1000</definedName>
    <definedName name="solver_rhs5" localSheetId="14" hidden="1">1+0.0000000001</definedName>
    <definedName name="solver_rhs5" localSheetId="15" hidden="1">1+0.0000000001</definedName>
    <definedName name="solver_rhs5" localSheetId="16" hidden="1">1+0.0000000001</definedName>
    <definedName name="solver_rhs5" localSheetId="17" hidden="1">1+0.0000000001</definedName>
    <definedName name="solver_rhs5" localSheetId="6" hidden="1">1+0.0000000001</definedName>
    <definedName name="solver_rhs5" localSheetId="9" hidden="1">1+0.0000000001</definedName>
    <definedName name="solver_rhs5" localSheetId="10" hidden="1">1+0.0000000001</definedName>
    <definedName name="solver_rhs5" localSheetId="11" hidden="1">1+0.0000000001</definedName>
    <definedName name="solver_rhs5" localSheetId="12" hidden="1">1+0.0000000001</definedName>
    <definedName name="solver_rhs5" localSheetId="13" hidden="1">1+0.0000000001</definedName>
    <definedName name="solver_rhs5" localSheetId="7" hidden="1">1+0.0000000001</definedName>
    <definedName name="solver_rhs5" localSheetId="5" hidden="1">1000</definedName>
    <definedName name="solver_rhs5" localSheetId="2" hidden="1">1+0.0000000001</definedName>
    <definedName name="solver_rhs50" localSheetId="14" hidden="1">1+0.0000000001</definedName>
    <definedName name="solver_rhs50" localSheetId="15" hidden="1">1+0.0000000001</definedName>
    <definedName name="solver_rhs50" localSheetId="16" hidden="1">1+0.0000000001</definedName>
    <definedName name="solver_rhs50" localSheetId="17" hidden="1">1+0.0000000001</definedName>
    <definedName name="solver_rhs50" localSheetId="6" hidden="1">1+0.0000000001</definedName>
    <definedName name="solver_rhs50" localSheetId="7" hidden="1">1+0.0000000001</definedName>
    <definedName name="solver_rhs50" localSheetId="5" hidden="1">1+0.0000000001</definedName>
    <definedName name="solver_rhs51" localSheetId="14" hidden="1">1.2</definedName>
    <definedName name="solver_rhs51" localSheetId="15" hidden="1">1.2</definedName>
    <definedName name="solver_rhs51" localSheetId="16" hidden="1">1.2</definedName>
    <definedName name="solver_rhs51" localSheetId="17" hidden="1">1.2</definedName>
    <definedName name="solver_rhs51" localSheetId="6" hidden="1">1.2</definedName>
    <definedName name="solver_rhs51" localSheetId="7" hidden="1">1.2</definedName>
    <definedName name="solver_rhs51" localSheetId="5" hidden="1">1.2</definedName>
    <definedName name="solver_rhs52" localSheetId="14" hidden="1">1000</definedName>
    <definedName name="solver_rhs52" localSheetId="15" hidden="1">1000</definedName>
    <definedName name="solver_rhs52" localSheetId="16" hidden="1">1000</definedName>
    <definedName name="solver_rhs52" localSheetId="17" hidden="1">1000</definedName>
    <definedName name="solver_rhs52" localSheetId="6" hidden="1">1000</definedName>
    <definedName name="solver_rhs52" localSheetId="7" hidden="1">1000</definedName>
    <definedName name="solver_rhs52" localSheetId="5" hidden="1">1000</definedName>
    <definedName name="solver_rhs53" localSheetId="14" hidden="1">1+0.0000000001</definedName>
    <definedName name="solver_rhs53" localSheetId="15" hidden="1">1+0.0000000001</definedName>
    <definedName name="solver_rhs53" localSheetId="16" hidden="1">1+0.0000000001</definedName>
    <definedName name="solver_rhs53" localSheetId="17" hidden="1">1+0.0000000001</definedName>
    <definedName name="solver_rhs53" localSheetId="6" hidden="1">1+0.0000000001</definedName>
    <definedName name="solver_rhs53" localSheetId="7" hidden="1">1+0.0000000001</definedName>
    <definedName name="solver_rhs53" localSheetId="5" hidden="1">1+0.0000000001</definedName>
    <definedName name="solver_rhs54" localSheetId="14" hidden="1">1.2</definedName>
    <definedName name="solver_rhs54" localSheetId="15" hidden="1">1.2</definedName>
    <definedName name="solver_rhs54" localSheetId="16" hidden="1">1.2</definedName>
    <definedName name="solver_rhs54" localSheetId="17" hidden="1">1.2</definedName>
    <definedName name="solver_rhs54" localSheetId="6" hidden="1">1.2</definedName>
    <definedName name="solver_rhs54" localSheetId="7" hidden="1">1.2</definedName>
    <definedName name="solver_rhs54" localSheetId="5" hidden="1">1.2</definedName>
    <definedName name="solver_rhs55" localSheetId="7" hidden="1">1000</definedName>
    <definedName name="solver_rhs55" localSheetId="5" hidden="1">1000</definedName>
    <definedName name="solver_rhs56" localSheetId="7" hidden="1">1+0.0000000001</definedName>
    <definedName name="solver_rhs56" localSheetId="5" hidden="1">1+0.0000000001</definedName>
    <definedName name="solver_rhs57" localSheetId="7" hidden="1">1.2</definedName>
    <definedName name="solver_rhs57" localSheetId="5" hidden="1">1.2</definedName>
    <definedName name="solver_rhs58" localSheetId="7" hidden="1">1000</definedName>
    <definedName name="solver_rhs58" localSheetId="5" hidden="1">1000</definedName>
    <definedName name="solver_rhs59" localSheetId="7" hidden="1">1+0.0000000001</definedName>
    <definedName name="solver_rhs59" localSheetId="5" hidden="1">1+0.0000000001</definedName>
    <definedName name="solver_rhs6" localSheetId="14" hidden="1">1.2</definedName>
    <definedName name="solver_rhs6" localSheetId="15" hidden="1">1.2</definedName>
    <definedName name="solver_rhs6" localSheetId="16" hidden="1">1.2</definedName>
    <definedName name="solver_rhs6" localSheetId="17" hidden="1">1.2</definedName>
    <definedName name="solver_rhs6" localSheetId="6" hidden="1">1.2</definedName>
    <definedName name="solver_rhs6" localSheetId="9" hidden="1">1.2</definedName>
    <definedName name="solver_rhs6" localSheetId="10" hidden="1">1.2</definedName>
    <definedName name="solver_rhs6" localSheetId="11" hidden="1">1.2</definedName>
    <definedName name="solver_rhs6" localSheetId="12" hidden="1">1.2</definedName>
    <definedName name="solver_rhs6" localSheetId="13" hidden="1">1.2</definedName>
    <definedName name="solver_rhs6" localSheetId="7" hidden="1">1.2</definedName>
    <definedName name="solver_rhs6" localSheetId="5" hidden="1">1000</definedName>
    <definedName name="solver_rhs6" localSheetId="2" hidden="1">1.2</definedName>
    <definedName name="solver_rhs60" localSheetId="7" hidden="1">1.2</definedName>
    <definedName name="solver_rhs60" localSheetId="5" hidden="1">1.2</definedName>
    <definedName name="solver_rhs61" localSheetId="5" hidden="1">1000</definedName>
    <definedName name="solver_rhs62" localSheetId="5" hidden="1">1+0.0000000001</definedName>
    <definedName name="solver_rhs63" localSheetId="5" hidden="1">1.2</definedName>
    <definedName name="solver_rhs64" localSheetId="5" hidden="1">1000</definedName>
    <definedName name="solver_rhs65" localSheetId="5" hidden="1">1+0.0000000001</definedName>
    <definedName name="solver_rhs66" localSheetId="5" hidden="1">1.2</definedName>
    <definedName name="solver_rhs67" localSheetId="5" hidden="1">1000</definedName>
    <definedName name="solver_rhs68" localSheetId="5" hidden="1">1+0.0000000001</definedName>
    <definedName name="solver_rhs69" localSheetId="5" hidden="1">1.2</definedName>
    <definedName name="solver_rhs7" localSheetId="14" hidden="1">1000</definedName>
    <definedName name="solver_rhs7" localSheetId="15" hidden="1">1000</definedName>
    <definedName name="solver_rhs7" localSheetId="16" hidden="1">1000</definedName>
    <definedName name="solver_rhs7" localSheetId="17" hidden="1">1000</definedName>
    <definedName name="solver_rhs7" localSheetId="6" hidden="1">1000</definedName>
    <definedName name="solver_rhs7" localSheetId="9" hidden="1">1000</definedName>
    <definedName name="solver_rhs7" localSheetId="10" hidden="1">1000</definedName>
    <definedName name="solver_rhs7" localSheetId="11" hidden="1">1000</definedName>
    <definedName name="solver_rhs7" localSheetId="12" hidden="1">1000</definedName>
    <definedName name="solver_rhs7" localSheetId="13" hidden="1">1000</definedName>
    <definedName name="solver_rhs7" localSheetId="7" hidden="1">1000</definedName>
    <definedName name="solver_rhs7" localSheetId="5" hidden="1">1+0.0000000001</definedName>
    <definedName name="solver_rhs7" localSheetId="2" hidden="1">1000</definedName>
    <definedName name="solver_rhs70" localSheetId="5" hidden="1">1000</definedName>
    <definedName name="solver_rhs71" localSheetId="5" hidden="1">1+0.0000000001</definedName>
    <definedName name="solver_rhs72" localSheetId="5" hidden="1">1.2</definedName>
    <definedName name="solver_rhs73" localSheetId="5" hidden="1">1000</definedName>
    <definedName name="solver_rhs74" localSheetId="5" hidden="1">1+0.0000000001</definedName>
    <definedName name="solver_rhs75" localSheetId="5" hidden="1">1.2</definedName>
    <definedName name="solver_rhs76" localSheetId="5" hidden="1">1000</definedName>
    <definedName name="solver_rhs77" localSheetId="5" hidden="1">1+0.0000000001</definedName>
    <definedName name="solver_rhs78" localSheetId="5" hidden="1">1.2</definedName>
    <definedName name="solver_rhs79" localSheetId="5" hidden="1">1000</definedName>
    <definedName name="solver_rhs8" localSheetId="14" hidden="1">1+0.0000000001</definedName>
    <definedName name="solver_rhs8" localSheetId="15" hidden="1">1+0.0000000001</definedName>
    <definedName name="solver_rhs8" localSheetId="16" hidden="1">1+0.0000000001</definedName>
    <definedName name="solver_rhs8" localSheetId="17" hidden="1">1+0.0000000001</definedName>
    <definedName name="solver_rhs8" localSheetId="6" hidden="1">1+0.0000000001</definedName>
    <definedName name="solver_rhs8" localSheetId="9" hidden="1">1+0.0000000001</definedName>
    <definedName name="solver_rhs8" localSheetId="10" hidden="1">1+0.0000000001</definedName>
    <definedName name="solver_rhs8" localSheetId="11" hidden="1">1+0.0000000001</definedName>
    <definedName name="solver_rhs8" localSheetId="12" hidden="1">1+0.0000000001</definedName>
    <definedName name="solver_rhs8" localSheetId="13" hidden="1">1+0.0000000001</definedName>
    <definedName name="solver_rhs8" localSheetId="7" hidden="1">1+0.0000000001</definedName>
    <definedName name="solver_rhs8" localSheetId="5" hidden="1">1+0.0000000001</definedName>
    <definedName name="solver_rhs8" localSheetId="2" hidden="1">1+0.0000000001</definedName>
    <definedName name="solver_rhs80" localSheetId="5" hidden="1">1+0.0000000001</definedName>
    <definedName name="solver_rhs81" localSheetId="5" hidden="1">1.2</definedName>
    <definedName name="solver_rhs82" localSheetId="5" hidden="1">1000</definedName>
    <definedName name="solver_rhs83" localSheetId="5" hidden="1">1+0.0000000001</definedName>
    <definedName name="solver_rhs84" localSheetId="5" hidden="1">1.2</definedName>
    <definedName name="solver_rhs85" localSheetId="5" hidden="1">1000</definedName>
    <definedName name="solver_rhs86" localSheetId="5" hidden="1">1+0.0000000001</definedName>
    <definedName name="solver_rhs87" localSheetId="5" hidden="1">1.2</definedName>
    <definedName name="solver_rhs88" localSheetId="5" hidden="1">1000</definedName>
    <definedName name="solver_rhs89" localSheetId="5" hidden="1">1+0.0000000001</definedName>
    <definedName name="solver_rhs9" localSheetId="14" hidden="1">1.2</definedName>
    <definedName name="solver_rhs9" localSheetId="15" hidden="1">1.2</definedName>
    <definedName name="solver_rhs9" localSheetId="16" hidden="1">1.2</definedName>
    <definedName name="solver_rhs9" localSheetId="17" hidden="1">1.2</definedName>
    <definedName name="solver_rhs9" localSheetId="6" hidden="1">1.2</definedName>
    <definedName name="solver_rhs9" localSheetId="9" hidden="1">1.2</definedName>
    <definedName name="solver_rhs9" localSheetId="10" hidden="1">1.2</definedName>
    <definedName name="solver_rhs9" localSheetId="11" hidden="1">1.2</definedName>
    <definedName name="solver_rhs9" localSheetId="12" hidden="1">1.2</definedName>
    <definedName name="solver_rhs9" localSheetId="13" hidden="1">1.2</definedName>
    <definedName name="solver_rhs9" localSheetId="7" hidden="1">1.2</definedName>
    <definedName name="solver_rhs9" localSheetId="5" hidden="1">1+0.0000000001</definedName>
    <definedName name="solver_rhs9" localSheetId="2" hidden="1">1.2</definedName>
    <definedName name="solver_rhs90" localSheetId="5" hidden="1">1.2</definedName>
    <definedName name="solver_rhs91" localSheetId="5" hidden="1">1000</definedName>
    <definedName name="solver_rhs92" localSheetId="5" hidden="1">1+0.0000000001</definedName>
    <definedName name="solver_rhs93" localSheetId="5" hidden="1">1.2</definedName>
    <definedName name="solver_rhs94" localSheetId="5" hidden="1">1000</definedName>
    <definedName name="solver_rhs95" localSheetId="5" hidden="1">1+0.0000000001</definedName>
    <definedName name="solver_rhs96" localSheetId="5" hidden="1">1.2</definedName>
    <definedName name="solver_rhs97" localSheetId="5" hidden="1">1000</definedName>
    <definedName name="solver_rhs98" localSheetId="5" hidden="1">1+0.0000000001</definedName>
    <definedName name="solver_rhs99" localSheetId="5" hidden="1">1.2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6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7" hidden="1">2</definedName>
    <definedName name="solver_rlx" localSheetId="5" hidden="1">2</definedName>
    <definedName name="solver_rlx" localSheetId="8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6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7" hidden="1">0</definedName>
    <definedName name="solver_rsd" localSheetId="5" hidden="1">0</definedName>
    <definedName name="solver_rsd" localSheetId="8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6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7" hidden="1">1</definedName>
    <definedName name="solver_scl" localSheetId="5" hidden="1">1</definedName>
    <definedName name="solver_scl" localSheetId="8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6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7" hidden="1">2</definedName>
    <definedName name="solver_sho" localSheetId="5" hidden="1">2</definedName>
    <definedName name="solver_sho" localSheetId="8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6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7" hidden="1">100</definedName>
    <definedName name="solver_ssz" localSheetId="5" hidden="1">100</definedName>
    <definedName name="solver_ssz" localSheetId="8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6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7" hidden="1">2147483647</definedName>
    <definedName name="solver_tim" localSheetId="5" hidden="1">2147483647</definedName>
    <definedName name="solver_tim" localSheetId="8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6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7" hidden="1">0.01</definedName>
    <definedName name="solver_tol" localSheetId="5" hidden="1">0.01</definedName>
    <definedName name="solver_tol" localSheetId="8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yp" localSheetId="0" hidden="1">1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6" hidden="1">2</definedName>
    <definedName name="solver_typ" localSheetId="9" hidden="1">2</definedName>
    <definedName name="solver_typ" localSheetId="10" hidden="1">1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7" hidden="1">2</definedName>
    <definedName name="solver_typ" localSheetId="5" hidden="1">2</definedName>
    <definedName name="solver_typ" localSheetId="8" hidden="1">3</definedName>
    <definedName name="solver_typ" localSheetId="2" hidden="1">2</definedName>
    <definedName name="solver_typ" localSheetId="3" hidden="1">3</definedName>
    <definedName name="solver_typ" localSheetId="4" hidden="1">3</definedName>
    <definedName name="solver_typ" localSheetId="1" hidden="1">1</definedName>
    <definedName name="solver_val" localSheetId="0" hidden="1">0</definedName>
    <definedName name="solver_val" localSheetId="14" hidden="1">40</definedName>
    <definedName name="solver_val" localSheetId="15" hidden="1">40</definedName>
    <definedName name="solver_val" localSheetId="16" hidden="1">40</definedName>
    <definedName name="solver_val" localSheetId="17" hidden="1">40</definedName>
    <definedName name="solver_val" localSheetId="6" hidden="1">40</definedName>
    <definedName name="solver_val" localSheetId="9" hidden="1">40</definedName>
    <definedName name="solver_val" localSheetId="10" hidden="1">0</definedName>
    <definedName name="solver_val" localSheetId="11" hidden="1">40</definedName>
    <definedName name="solver_val" localSheetId="12" hidden="1">40</definedName>
    <definedName name="solver_val" localSheetId="13" hidden="1">40</definedName>
    <definedName name="solver_val" localSheetId="7" hidden="1">40</definedName>
    <definedName name="solver_val" localSheetId="5" hidden="1">40</definedName>
    <definedName name="solver_val" localSheetId="8" hidden="1">40</definedName>
    <definedName name="solver_val" localSheetId="2" hidden="1">40</definedName>
    <definedName name="solver_val" localSheetId="3" hidden="1">40</definedName>
    <definedName name="solver_val" localSheetId="4" hidden="1">40</definedName>
    <definedName name="solver_val" localSheetId="1" hidden="1">0</definedName>
    <definedName name="solver_ver" localSheetId="0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6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7" hidden="1">3</definedName>
    <definedName name="solver_ver" localSheetId="5" hidden="1">3</definedName>
    <definedName name="solver_ver" localSheetId="8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  <c r="A2" i="23" s="1"/>
  <c r="D5" i="22"/>
  <c r="D5" i="14"/>
  <c r="D5" i="13"/>
  <c r="D5" i="12"/>
  <c r="D5" i="11"/>
  <c r="D5" i="19"/>
  <c r="D5" i="18"/>
  <c r="D5" i="17"/>
  <c r="D5" i="16"/>
  <c r="D5" i="6"/>
  <c r="A1" i="19" a="1"/>
  <c r="A1" i="19" s="1"/>
  <c r="A15" i="23" s="1"/>
  <c r="A1" i="18" a="1"/>
  <c r="A1" i="18" s="1"/>
  <c r="A14" i="23" s="1"/>
  <c r="A1" i="17" a="1"/>
  <c r="A1" i="17" s="1"/>
  <c r="A13" i="23" s="1"/>
  <c r="A1" i="16" a="1"/>
  <c r="A1" i="16" s="1"/>
  <c r="A12" i="23" s="1"/>
  <c r="A1" i="22" a="1"/>
  <c r="A1" i="22" s="1"/>
  <c r="A11" i="23" s="1"/>
  <c r="A1" i="14" a="1"/>
  <c r="A1" i="14" s="1"/>
  <c r="A10" i="23" s="1"/>
  <c r="A1" i="13" a="1"/>
  <c r="A1" i="13" s="1"/>
  <c r="A9" i="23" s="1"/>
  <c r="A1" i="12" a="1"/>
  <c r="A1" i="12" s="1"/>
  <c r="A8" i="23" s="1"/>
  <c r="A1" i="11" a="1"/>
  <c r="A1" i="11" s="1"/>
  <c r="A7" i="23" s="1"/>
  <c r="A1" i="5" a="1"/>
  <c r="A1" i="5" s="1"/>
  <c r="A6" i="23" s="1"/>
  <c r="A1" i="8" a="1"/>
  <c r="A1" i="8" s="1"/>
  <c r="A5" i="23" s="1"/>
  <c r="A1" i="6" a="1"/>
  <c r="A1" i="6" s="1"/>
  <c r="A4" i="23" s="1"/>
  <c r="A1" i="3" a="1"/>
  <c r="A1" i="3" s="1"/>
  <c r="A3" i="23" s="1"/>
  <c r="B2" i="23" a="1"/>
  <c r="C3" i="23" a="1"/>
  <c r="C3" i="23" l="1"/>
  <c r="B2" i="23"/>
  <c r="B3" i="23" a="1"/>
  <c r="B3" i="23" l="1"/>
  <c r="E13" i="21"/>
  <c r="D21" i="16" s="1"/>
  <c r="E14" i="21"/>
  <c r="D21" i="17" s="1"/>
  <c r="E15" i="21"/>
  <c r="D21" i="18" s="1"/>
  <c r="E16" i="21"/>
  <c r="D21" i="19" s="1"/>
  <c r="D12" i="19"/>
  <c r="D12" i="18"/>
  <c r="D12" i="17"/>
  <c r="D12" i="16"/>
  <c r="D12" i="22"/>
  <c r="D12" i="14"/>
  <c r="D12" i="13"/>
  <c r="D12" i="12"/>
  <c r="D12" i="11"/>
  <c r="D12" i="8"/>
  <c r="D12" i="5"/>
  <c r="D12" i="6"/>
  <c r="D12" i="1"/>
  <c r="J3" i="6"/>
  <c r="D11" i="6" s="1"/>
  <c r="D11" i="3"/>
  <c r="D12" i="3"/>
  <c r="J3" i="3"/>
  <c r="E3" i="21"/>
  <c r="E4" i="21"/>
  <c r="D3" i="16" s="1"/>
  <c r="E5" i="21"/>
  <c r="D3" i="17" s="1"/>
  <c r="E6" i="21"/>
  <c r="D3" i="18" s="1"/>
  <c r="E7" i="21"/>
  <c r="D3" i="19" s="1"/>
  <c r="E8" i="21"/>
  <c r="E9" i="21"/>
  <c r="D3" i="12" s="1"/>
  <c r="E10" i="21"/>
  <c r="D3" i="13" s="1"/>
  <c r="E11" i="21"/>
  <c r="D3" i="14" s="1"/>
  <c r="E12" i="21"/>
  <c r="D3" i="22" s="1"/>
  <c r="E2" i="21"/>
  <c r="D3" i="8" s="1"/>
  <c r="D13" i="8" s="1"/>
  <c r="C7" i="22"/>
  <c r="E5" i="22"/>
  <c r="C5" i="22"/>
  <c r="C7" i="19"/>
  <c r="E5" i="19"/>
  <c r="C5" i="19"/>
  <c r="C7" i="18"/>
  <c r="E5" i="18"/>
  <c r="C5" i="18"/>
  <c r="C7" i="17"/>
  <c r="E5" i="17"/>
  <c r="C5" i="17"/>
  <c r="C7" i="16"/>
  <c r="E5" i="16"/>
  <c r="C5" i="16"/>
  <c r="C7" i="14"/>
  <c r="E5" i="14"/>
  <c r="C5" i="14"/>
  <c r="C7" i="13"/>
  <c r="E5" i="13"/>
  <c r="C5" i="13"/>
  <c r="C7" i="12"/>
  <c r="E5" i="12"/>
  <c r="C5" i="12"/>
  <c r="C7" i="11"/>
  <c r="E5" i="11"/>
  <c r="C5" i="11"/>
  <c r="E5" i="3"/>
  <c r="D14" i="9"/>
  <c r="D12" i="9" s="1"/>
  <c r="D13" i="9"/>
  <c r="D11" i="9"/>
  <c r="C7" i="9"/>
  <c r="E5" i="9"/>
  <c r="C5" i="9"/>
  <c r="C7" i="8"/>
  <c r="E5" i="8"/>
  <c r="C5" i="8"/>
  <c r="D14" i="7"/>
  <c r="H3" i="7" s="1"/>
  <c r="D13" i="7"/>
  <c r="D12" i="7"/>
  <c r="D11" i="7"/>
  <c r="I8" i="7" s="1"/>
  <c r="I9" i="7" s="1"/>
  <c r="C7" i="7"/>
  <c r="E5" i="7"/>
  <c r="C5" i="7"/>
  <c r="D14" i="6"/>
  <c r="D13" i="6"/>
  <c r="C7" i="6"/>
  <c r="E5" i="6"/>
  <c r="C5" i="6"/>
  <c r="C7" i="5"/>
  <c r="E5" i="5"/>
  <c r="C5" i="5"/>
  <c r="D14" i="3"/>
  <c r="D13" i="3"/>
  <c r="C7" i="3"/>
  <c r="C5" i="3"/>
  <c r="C7" i="1"/>
  <c r="C5" i="1"/>
  <c r="E5" i="1"/>
  <c r="D14" i="1"/>
  <c r="J3" i="1" s="1"/>
  <c r="D11" i="1" s="1"/>
  <c r="D13" i="1"/>
  <c r="C5" i="23" a="1"/>
  <c r="C7" i="23" a="1"/>
  <c r="C11" i="23" a="1"/>
  <c r="C12" i="23" a="1"/>
  <c r="C8" i="23" a="1"/>
  <c r="C9" i="23" a="1"/>
  <c r="C10" i="23" a="1"/>
  <c r="C13" i="23" a="1"/>
  <c r="C4" i="23" a="1"/>
  <c r="B4" i="23" a="1"/>
  <c r="C2" i="23" a="1"/>
  <c r="C14" i="23" a="1"/>
  <c r="C15" i="23" a="1"/>
  <c r="C6" i="23" a="1"/>
  <c r="B4" i="23" l="1"/>
  <c r="C4" i="23"/>
  <c r="C2" i="23"/>
  <c r="C14" i="23"/>
  <c r="C15" i="23"/>
  <c r="C11" i="23"/>
  <c r="C10" i="23"/>
  <c r="C7" i="23"/>
  <c r="C6" i="23"/>
  <c r="C5" i="23"/>
  <c r="C9" i="23"/>
  <c r="C8" i="23"/>
  <c r="C12" i="23"/>
  <c r="C13" i="23"/>
  <c r="D14" i="22"/>
  <c r="D14" i="12"/>
  <c r="D13" i="18"/>
  <c r="D14" i="13"/>
  <c r="D14" i="14"/>
  <c r="D14" i="19"/>
  <c r="D13" i="17"/>
  <c r="E20" i="21"/>
  <c r="D3" i="11"/>
  <c r="D3" i="5"/>
  <c r="E18" i="21"/>
  <c r="E19" i="21"/>
  <c r="I8" i="3"/>
  <c r="I9" i="3" s="1"/>
  <c r="D14" i="8"/>
  <c r="D5" i="5" s="1"/>
  <c r="D13" i="16"/>
  <c r="D14" i="17"/>
  <c r="D13" i="19"/>
  <c r="D14" i="18"/>
  <c r="D13" i="12"/>
  <c r="I8" i="6"/>
  <c r="I9" i="6" s="1"/>
  <c r="H3" i="6"/>
  <c r="H3" i="9"/>
  <c r="I8" i="9"/>
  <c r="H4" i="7"/>
  <c r="I11" i="7" s="1"/>
  <c r="H3" i="3"/>
  <c r="B14" i="23" a="1"/>
  <c r="B8" i="23" a="1"/>
  <c r="B15" i="23" a="1"/>
  <c r="B13" i="23" a="1"/>
  <c r="B10" i="23" a="1"/>
  <c r="B5" i="23" a="1"/>
  <c r="B11" i="23" a="1"/>
  <c r="B9" i="23" a="1"/>
  <c r="D13" i="5" l="1"/>
  <c r="D14" i="5"/>
  <c r="H3" i="5" s="1"/>
  <c r="H4" i="5" s="1"/>
  <c r="B8" i="23"/>
  <c r="B11" i="23"/>
  <c r="B15" i="23"/>
  <c r="B10" i="23"/>
  <c r="B14" i="23"/>
  <c r="B13" i="23"/>
  <c r="B5" i="23"/>
  <c r="B9" i="23"/>
  <c r="J3" i="12"/>
  <c r="D11" i="12" s="1"/>
  <c r="I8" i="12" s="1"/>
  <c r="I9" i="12" s="1"/>
  <c r="H3" i="12"/>
  <c r="H4" i="12" s="1"/>
  <c r="J3" i="22"/>
  <c r="D11" i="22" s="1"/>
  <c r="I8" i="22" s="1"/>
  <c r="I9" i="22" s="1"/>
  <c r="J3" i="19"/>
  <c r="D11" i="19" s="1"/>
  <c r="I8" i="19" s="1"/>
  <c r="I9" i="19" s="1"/>
  <c r="J3" i="18"/>
  <c r="D11" i="18" s="1"/>
  <c r="I8" i="18" s="1"/>
  <c r="I9" i="18" s="1"/>
  <c r="D13" i="22"/>
  <c r="J3" i="8"/>
  <c r="D11" i="8" s="1"/>
  <c r="D14" i="11"/>
  <c r="J3" i="11" s="1"/>
  <c r="D11" i="11" s="1"/>
  <c r="I8" i="11" s="1"/>
  <c r="I9" i="11" s="1"/>
  <c r="H3" i="19"/>
  <c r="H4" i="19" s="1"/>
  <c r="I9" i="9"/>
  <c r="D13" i="13"/>
  <c r="D13" i="14"/>
  <c r="H3" i="14"/>
  <c r="H4" i="14" s="1"/>
  <c r="J3" i="14"/>
  <c r="D11" i="14" s="1"/>
  <c r="I8" i="14" s="1"/>
  <c r="I9" i="14" s="1"/>
  <c r="H3" i="22"/>
  <c r="H4" i="22" s="1"/>
  <c r="H3" i="13"/>
  <c r="H4" i="13" s="1"/>
  <c r="J3" i="13"/>
  <c r="D11" i="13" s="1"/>
  <c r="I8" i="13" s="1"/>
  <c r="I9" i="13" s="1"/>
  <c r="H3" i="17"/>
  <c r="H4" i="17" s="1"/>
  <c r="J3" i="17"/>
  <c r="D11" i="17" s="1"/>
  <c r="I8" i="17" s="1"/>
  <c r="I9" i="17" s="1"/>
  <c r="D13" i="11"/>
  <c r="I16" i="3"/>
  <c r="I17" i="3"/>
  <c r="I18" i="3"/>
  <c r="I19" i="3"/>
  <c r="I8" i="1"/>
  <c r="I9" i="1" s="1"/>
  <c r="D14" i="16"/>
  <c r="H3" i="8"/>
  <c r="H4" i="8" s="1"/>
  <c r="I13" i="8" s="1"/>
  <c r="I14" i="8" s="1"/>
  <c r="I8" i="8"/>
  <c r="I9" i="8" s="1"/>
  <c r="H3" i="18"/>
  <c r="H4" i="6"/>
  <c r="I13" i="6" s="1"/>
  <c r="I14" i="6" s="1"/>
  <c r="I16" i="7"/>
  <c r="I17" i="7" s="1"/>
  <c r="I18" i="7"/>
  <c r="I19" i="7" s="1"/>
  <c r="H4" i="9"/>
  <c r="I12" i="7"/>
  <c r="I13" i="7"/>
  <c r="I14" i="7" s="1"/>
  <c r="H4" i="3"/>
  <c r="I11" i="3" s="1"/>
  <c r="I12" i="3" s="1"/>
  <c r="H3" i="1"/>
  <c r="B7" i="23" a="1"/>
  <c r="B6" i="23" a="1"/>
  <c r="B12" i="23" a="1"/>
  <c r="I18" i="12" l="1"/>
  <c r="I19" i="12" s="1"/>
  <c r="J3" i="5"/>
  <c r="D11" i="5" s="1"/>
  <c r="I8" i="5" s="1"/>
  <c r="I9" i="5" s="1"/>
  <c r="B6" i="23"/>
  <c r="I13" i="14"/>
  <c r="I14" i="14" s="1"/>
  <c r="I16" i="14"/>
  <c r="I17" i="14" s="1"/>
  <c r="I18" i="14"/>
  <c r="I19" i="14" s="1"/>
  <c r="I11" i="14"/>
  <c r="I12" i="14" s="1"/>
  <c r="I16" i="12"/>
  <c r="I17" i="12" s="1"/>
  <c r="B12" i="23"/>
  <c r="B7" i="23"/>
  <c r="I16" i="19"/>
  <c r="I17" i="19" s="1"/>
  <c r="H3" i="11"/>
  <c r="H4" i="11" s="1"/>
  <c r="I18" i="11" s="1"/>
  <c r="I19" i="11" s="1"/>
  <c r="I13" i="12"/>
  <c r="I14" i="12" s="1"/>
  <c r="I11" i="12"/>
  <c r="I12" i="12" s="1"/>
  <c r="I18" i="19"/>
  <c r="I19" i="19" s="1"/>
  <c r="I13" i="22"/>
  <c r="I14" i="22" s="1"/>
  <c r="I11" i="22"/>
  <c r="I12" i="22" s="1"/>
  <c r="I18" i="22"/>
  <c r="I19" i="22" s="1"/>
  <c r="I16" i="22"/>
  <c r="I17" i="22" s="1"/>
  <c r="I13" i="13"/>
  <c r="I14" i="13" s="1"/>
  <c r="I11" i="5"/>
  <c r="I12" i="5" s="1"/>
  <c r="I16" i="5"/>
  <c r="I17" i="5" s="1"/>
  <c r="I13" i="5"/>
  <c r="I14" i="5" s="1"/>
  <c r="I16" i="13"/>
  <c r="I17" i="13" s="1"/>
  <c r="I11" i="13"/>
  <c r="I12" i="13" s="1"/>
  <c r="I13" i="17"/>
  <c r="I11" i="17"/>
  <c r="I12" i="17" s="1"/>
  <c r="H3" i="16"/>
  <c r="H4" i="16" s="1"/>
  <c r="J3" i="16"/>
  <c r="D11" i="16" s="1"/>
  <c r="I8" i="16" s="1"/>
  <c r="I9" i="16" s="1"/>
  <c r="I18" i="17"/>
  <c r="I19" i="17" s="1"/>
  <c r="I16" i="17"/>
  <c r="I17" i="17" s="1"/>
  <c r="I18" i="13"/>
  <c r="I19" i="13" s="1"/>
  <c r="I11" i="19"/>
  <c r="I12" i="19" s="1"/>
  <c r="I13" i="19"/>
  <c r="I14" i="19" s="1"/>
  <c r="I14" i="17"/>
  <c r="I16" i="8"/>
  <c r="I17" i="8" s="1"/>
  <c r="I13" i="18"/>
  <c r="I12" i="18"/>
  <c r="H4" i="18"/>
  <c r="I16" i="18" s="1"/>
  <c r="I14" i="18"/>
  <c r="I11" i="18"/>
  <c r="I18" i="8"/>
  <c r="I19" i="8" s="1"/>
  <c r="I16" i="6"/>
  <c r="I17" i="6" s="1"/>
  <c r="I18" i="6"/>
  <c r="I19" i="6" s="1"/>
  <c r="I11" i="6"/>
  <c r="I11" i="8"/>
  <c r="I13" i="9"/>
  <c r="I14" i="9" s="1"/>
  <c r="I16" i="9"/>
  <c r="I18" i="9"/>
  <c r="I19" i="9" s="1"/>
  <c r="I11" i="9"/>
  <c r="I12" i="9" s="1"/>
  <c r="I13" i="3"/>
  <c r="I14" i="3" s="1"/>
  <c r="H4" i="1"/>
  <c r="I16" i="1" s="1"/>
  <c r="I18" i="5" l="1"/>
  <c r="I19" i="5" s="1"/>
  <c r="D18" i="5" s="1" a="1"/>
  <c r="D18" i="5" s="1"/>
  <c r="D18" i="14" a="1"/>
  <c r="D18" i="14" s="1"/>
  <c r="D17" i="14" a="1"/>
  <c r="D17" i="14" s="1"/>
  <c r="D18" i="12" a="1"/>
  <c r="D18" i="12" s="1"/>
  <c r="I16" i="11"/>
  <c r="I17" i="11" s="1"/>
  <c r="D18" i="11" s="1" a="1"/>
  <c r="D18" i="11" s="1"/>
  <c r="D17" i="12" a="1"/>
  <c r="D17" i="12" s="1"/>
  <c r="I13" i="11"/>
  <c r="I14" i="11" s="1"/>
  <c r="I11" i="11"/>
  <c r="I12" i="11" s="1"/>
  <c r="I17" i="9"/>
  <c r="D18" i="9" s="1" a="1"/>
  <c r="D18" i="9" s="1"/>
  <c r="D17" i="9" a="1"/>
  <c r="D17" i="9" s="1"/>
  <c r="D18" i="22" a="1"/>
  <c r="D18" i="22" s="1"/>
  <c r="D18" i="17" a="1"/>
  <c r="D18" i="17" s="1"/>
  <c r="D17" i="22" a="1"/>
  <c r="D17" i="22" s="1"/>
  <c r="D18" i="19" a="1"/>
  <c r="D18" i="19" s="1"/>
  <c r="D18" i="13" a="1"/>
  <c r="D18" i="13" s="1"/>
  <c r="D17" i="19" a="1"/>
  <c r="D17" i="19" s="1"/>
  <c r="D22" i="19" s="1"/>
  <c r="D17" i="13" a="1"/>
  <c r="D17" i="13" s="1"/>
  <c r="I13" i="16"/>
  <c r="I14" i="16" s="1"/>
  <c r="D17" i="17" a="1"/>
  <c r="D17" i="17" s="1"/>
  <c r="D22" i="17" s="1"/>
  <c r="I16" i="16"/>
  <c r="I17" i="16" s="1"/>
  <c r="I18" i="16"/>
  <c r="I19" i="16" s="1"/>
  <c r="I11" i="16"/>
  <c r="I12" i="16" s="1"/>
  <c r="D17" i="3" a="1"/>
  <c r="D17" i="3" s="1"/>
  <c r="D21" i="5" s="1"/>
  <c r="D18" i="3" a="1"/>
  <c r="D18" i="3" s="1"/>
  <c r="I11" i="1"/>
  <c r="I18" i="18"/>
  <c r="I19" i="18" s="1"/>
  <c r="I17" i="18"/>
  <c r="D17" i="11" a="1"/>
  <c r="D17" i="11" s="1"/>
  <c r="D17" i="8" a="1"/>
  <c r="D17" i="8" s="1"/>
  <c r="I12" i="8"/>
  <c r="D18" i="8" s="1" a="1"/>
  <c r="D18" i="8" s="1"/>
  <c r="D22" i="8" s="1"/>
  <c r="I12" i="6"/>
  <c r="D18" i="6" s="1" a="1"/>
  <c r="D18" i="6" s="1"/>
  <c r="D17" i="6" a="1"/>
  <c r="D17" i="6" s="1"/>
  <c r="D22" i="6" s="1"/>
  <c r="I18" i="1"/>
  <c r="I19" i="1" s="1"/>
  <c r="I13" i="1"/>
  <c r="I14" i="1" s="1"/>
  <c r="I12" i="1"/>
  <c r="I17" i="1"/>
  <c r="D17" i="5" l="1" a="1"/>
  <c r="D17" i="5" s="1"/>
  <c r="D22" i="5"/>
  <c r="D17" i="18" a="1"/>
  <c r="D17" i="18" s="1"/>
  <c r="D22" i="18" s="1"/>
  <c r="D18" i="18" a="1"/>
  <c r="D18" i="18" s="1"/>
  <c r="D17" i="16" a="1"/>
  <c r="D17" i="16" s="1"/>
  <c r="D22" i="16" s="1"/>
  <c r="D18" i="16" a="1"/>
  <c r="D18" i="16" s="1"/>
  <c r="D21" i="8"/>
  <c r="D17" i="1" a="1"/>
  <c r="D17" i="1" s="1"/>
  <c r="D22" i="1" s="1"/>
  <c r="D18" i="1" a="1"/>
  <c r="D1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60DFAA-7D13-410D-A896-4960EBF56D0B}" keepAlive="1" name="Query - param_table" description="Connection to the 'param_table' query in the workbook." type="5" refreshedVersion="8" background="1" saveData="1">
    <dbPr connection="Provider=Microsoft.Mashup.OleDb.1;Data Source=$Workbook$;Location=param_table;Extended Properties=&quot;&quot;" command="SELECT * FROM [param_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<sst xmlns="http://schemas.openxmlformats.org/spreadsheetml/2006/main" count="1471" uniqueCount="128">
  <si>
    <t>Edge Length</t>
  </si>
  <si>
    <t>Number of Divisions</t>
  </si>
  <si>
    <t>Target Element Length</t>
  </si>
  <si>
    <t>Units</t>
  </si>
  <si>
    <t>Value</t>
  </si>
  <si>
    <t>Bias Factor</t>
  </si>
  <si>
    <t>Largest Element Length</t>
  </si>
  <si>
    <t>Smallest Element Length</t>
  </si>
  <si>
    <t>One-Sided Bias</t>
  </si>
  <si>
    <t>Symbol</t>
  </si>
  <si>
    <t>L</t>
  </si>
  <si>
    <t>B</t>
  </si>
  <si>
    <t>r</t>
  </si>
  <si>
    <t>𝓁_1</t>
  </si>
  <si>
    <t>𝓁_target</t>
  </si>
  <si>
    <t>N</t>
  </si>
  <si>
    <t>𝓁_N</t>
  </si>
  <si>
    <t>ODD Smallest Element Length</t>
  </si>
  <si>
    <t>EVEN Smallest Element Length</t>
  </si>
  <si>
    <t>ODD Largest Element Length</t>
  </si>
  <si>
    <t>EVEN Largest Element Length</t>
  </si>
  <si>
    <t>Bias Growth Rate</t>
  </si>
  <si>
    <t>Bias Type</t>
  </si>
  <si>
    <t>Central Min</t>
  </si>
  <si>
    <t>Central Max</t>
  </si>
  <si>
    <t>One-Sided</t>
  </si>
  <si>
    <t>Bias Types</t>
  </si>
  <si>
    <t>Parity for Number of Divisions</t>
  </si>
  <si>
    <t>ODD Central Bias</t>
  </si>
  <si>
    <t>EVEN Central Bias</t>
  </si>
  <si>
    <t>Bisected Side Divisions</t>
  </si>
  <si>
    <t xml:space="preserve">  [m]</t>
  </si>
  <si>
    <t xml:space="preserve">  [   ]</t>
  </si>
  <si>
    <t>Bias Calculation Lookup</t>
  </si>
  <si>
    <t>Bisection Calculation</t>
  </si>
  <si>
    <t>Central Min EVEN</t>
  </si>
  <si>
    <t>Central Max EVEN</t>
  </si>
  <si>
    <t>Central Min ODD</t>
  </si>
  <si>
    <t>Central Max ODD</t>
  </si>
  <si>
    <t>ANSYS Mesh Results</t>
  </si>
  <si>
    <t>Growth Rate</t>
  </si>
  <si>
    <t>EVEN Target Length</t>
  </si>
  <si>
    <t>ODD Target Length</t>
  </si>
  <si>
    <t>One-Sided Target Length</t>
  </si>
  <si>
    <t>ANSYS Edge Sizing Inputs</t>
  </si>
  <si>
    <t>Smallest</t>
  </si>
  <si>
    <t>Largest</t>
  </si>
  <si>
    <t>Utility Validation Procedure</t>
  </si>
  <si>
    <t>Edge Lengths</t>
  </si>
  <si>
    <t>Ratio</t>
  </si>
  <si>
    <t>Target Element Size</t>
  </si>
  <si>
    <t>Exterior</t>
  </si>
  <si>
    <t>Interior</t>
  </si>
  <si>
    <t>Top</t>
  </si>
  <si>
    <t>Bottom</t>
  </si>
  <si>
    <t>Input Type</t>
  </si>
  <si>
    <t>Bias Definition Type</t>
  </si>
  <si>
    <t>Bias Definition Value</t>
  </si>
  <si>
    <t>Smooth Transition (GR)</t>
  </si>
  <si>
    <t>Equivalent Calculated Parameters</t>
  </si>
  <si>
    <t>Element Size Calculation</t>
  </si>
  <si>
    <r>
      <rPr>
        <b/>
        <sz val="11"/>
        <color theme="1"/>
        <rFont val="Calibri"/>
        <family val="2"/>
        <scheme val="minor"/>
      </rPr>
      <t>NB: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Growth Rate (r) is the element-to-element relative growth rate, while the Bias Factor (B) is the total growth ratio (max element size:min element size).</t>
    </r>
  </si>
  <si>
    <t>Edge Sizing Inputs</t>
  </si>
  <si>
    <t>Size Definition Type</t>
  </si>
  <si>
    <t>Size Definition Value</t>
  </si>
  <si>
    <t>RECTANGLE Y-GRID</t>
  </si>
  <si>
    <t>RECTANGLE X-GRID</t>
  </si>
  <si>
    <t>RECTANGLE Z-GRID</t>
  </si>
  <si>
    <t>EXPANSION Y-GRID</t>
  </si>
  <si>
    <t>INLET/OUTLET X-GRID</t>
  </si>
  <si>
    <t>INLET/OUTLET Z-GRID</t>
  </si>
  <si>
    <t>EXPANSION SPLINE GRID</t>
  </si>
  <si>
    <t>Iterative Solution</t>
  </si>
  <si>
    <t>𝓁_round</t>
  </si>
  <si>
    <t>Element Length Difference</t>
  </si>
  <si>
    <t>Round-Rect Boundary Element Size</t>
  </si>
  <si>
    <t>Round-Exp Boundary Element Size</t>
  </si>
  <si>
    <t>Rect-Exp Boundary Element Size</t>
  </si>
  <si>
    <t>Exp-Exp Boundary Element Size</t>
  </si>
  <si>
    <t>EXP_ZSPLINE_CURVELENGTH_ANS</t>
  </si>
  <si>
    <t>EXP_XSPLINE_CURVELENGTH_ANS</t>
  </si>
  <si>
    <t>EXP_PARTITION_1_LENGTH_ANS</t>
  </si>
  <si>
    <t>EXP_PARTITION_2_LENGTH_ANS</t>
  </si>
  <si>
    <t>EXP_PARTITION_3_LENGTH_ANS</t>
  </si>
  <si>
    <t>EXP_PARTITION_4_LENGTH_ANS</t>
  </si>
  <si>
    <t>PASTE PARAMETER VALUES HERE</t>
  </si>
  <si>
    <t>MEASUREMENT PARAMETER NAMES</t>
  </si>
  <si>
    <t>EXPANSION PARTITION 1 CURVE</t>
  </si>
  <si>
    <t>EXPANSION PARTITION 2 CURVE</t>
  </si>
  <si>
    <t>EXPANSION PARTITION 3 CURVE</t>
  </si>
  <si>
    <t>EXPANSION PARTITION 4 CURVE</t>
  </si>
  <si>
    <t>EXPANSION SPLINE SECTION 1</t>
  </si>
  <si>
    <t>EXPANSION SPLINE SECTION 2</t>
  </si>
  <si>
    <t>EXPANSION SPLINE SECTION 3</t>
  </si>
  <si>
    <t>EXPANSION SPLINE SECTION 4</t>
  </si>
  <si>
    <t>EXPANSION SPLINE SECTION 5</t>
  </si>
  <si>
    <t>EXP_SPLINE_SECTION_1_LENGTH_ANS</t>
  </si>
  <si>
    <t>EXP_SPLINE_SECTION_2_LENGTH_ANS</t>
  </si>
  <si>
    <t>EXP_SPLINE_SECTION_3_LENGTH_ANS</t>
  </si>
  <si>
    <t>EXP_SPLINE_SECTION_4_LENGTH_ANS</t>
  </si>
  <si>
    <t>EXP_SPLINE_SECTION_5_LENGTH_ANS</t>
  </si>
  <si>
    <t>XML TEXT CONVERTED TO NUMBER IN METERS</t>
  </si>
  <si>
    <t>True N</t>
  </si>
  <si>
    <t>SUMMED SPLINE SECTIONS</t>
  </si>
  <si>
    <t>Sections 1+2</t>
  </si>
  <si>
    <t>Sections 1+2+3</t>
  </si>
  <si>
    <t>Sections 1+2+3+4</t>
  </si>
  <si>
    <t>Values</t>
  </si>
  <si>
    <t>ROUND_PARTITION_1_HEIGHT_ANS</t>
  </si>
  <si>
    <t>ROUND_PARTITION_2_HEIGHT_ANS</t>
  </si>
  <si>
    <t>ROUND_PARTITION_3_HEIGHT_ANS</t>
  </si>
  <si>
    <t>ROUND_PARTITION_4_HEIGHT_ANS</t>
  </si>
  <si>
    <t>18.886881256233</t>
  </si>
  <si>
    <t>10.0009374586321</t>
  </si>
  <si>
    <t>0.3708022572272</t>
  </si>
  <si>
    <t>0.30528807330247</t>
  </si>
  <si>
    <t>0.25791235460178</t>
  </si>
  <si>
    <t>0.22327899852197</t>
  </si>
  <si>
    <t>3.65836546517581</t>
  </si>
  <si>
    <t>7.92287535438769</t>
  </si>
  <si>
    <t>5.0639867455939</t>
  </si>
  <si>
    <t>3.87706825262</t>
  </si>
  <si>
    <t>5.90213285520249</t>
  </si>
  <si>
    <t>3.5412476529089</t>
  </si>
  <si>
    <t>3.54128573761515</t>
  </si>
  <si>
    <t>3.54135729934196</t>
  </si>
  <si>
    <t>2.36085842081168</t>
  </si>
  <si>
    <t>Mesh Control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</si>
</sst>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E+00"/>
    <numFmt numFmtId="165" formatCode="0.00000E+00"/>
    <numFmt numFmtId="166" formatCode="0.000000"/>
    <numFmt numFmtId="167" formatCode="0.00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 Unicode MS"/>
    </font>
  </fonts>
  <fills count="1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43E3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14999847407452621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2" tint="-0.249977111117893"/>
      </bottom>
      <diagonal/>
    </border>
    <border>
      <left/>
      <right style="thin">
        <color theme="1"/>
      </right>
      <top/>
      <bottom style="thin">
        <color theme="2" tint="-0.249977111117893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right"/>
    </xf>
    <xf numFmtId="0" fontId="0" fillId="4" borderId="7" xfId="0" applyFill="1" applyBorder="1" applyAlignment="1">
      <alignment horizontal="right"/>
    </xf>
    <xf numFmtId="0" fontId="0" fillId="4" borderId="9" xfId="0" applyFill="1" applyBorder="1" applyAlignment="1">
      <alignment horizontal="right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12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4" borderId="6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164" fontId="0" fillId="4" borderId="0" xfId="0" applyNumberFormat="1" applyFill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164" fontId="0" fillId="4" borderId="10" xfId="0" applyNumberForma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4" fontId="0" fillId="9" borderId="13" xfId="0" applyNumberFormat="1" applyFill="1" applyBorder="1" applyAlignment="1">
      <alignment horizontal="right" vertical="center"/>
    </xf>
    <xf numFmtId="0" fontId="0" fillId="9" borderId="14" xfId="0" applyFill="1" applyBorder="1" applyAlignment="1">
      <alignment horizontal="left"/>
    </xf>
    <xf numFmtId="164" fontId="0" fillId="9" borderId="16" xfId="0" applyNumberFormat="1" applyFill="1" applyBorder="1" applyAlignment="1">
      <alignment horizontal="right" vertical="center"/>
    </xf>
    <xf numFmtId="0" fontId="0" fillId="9" borderId="17" xfId="0" applyFill="1" applyBorder="1" applyAlignment="1">
      <alignment horizontal="left"/>
    </xf>
    <xf numFmtId="0" fontId="0" fillId="4" borderId="2" xfId="0" applyFill="1" applyBorder="1" applyAlignment="1">
      <alignment horizontal="right"/>
    </xf>
    <xf numFmtId="0" fontId="0" fillId="4" borderId="4" xfId="0" applyFill="1" applyBorder="1" applyAlignment="1">
      <alignment horizontal="center" vertical="center"/>
    </xf>
    <xf numFmtId="11" fontId="0" fillId="0" borderId="0" xfId="0" applyNumberFormat="1"/>
    <xf numFmtId="0" fontId="0" fillId="0" borderId="6" xfId="0" applyBorder="1"/>
    <xf numFmtId="0" fontId="3" fillId="5" borderId="20" xfId="0" applyFont="1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6" xfId="0" applyFill="1" applyBorder="1" applyAlignment="1">
      <alignment horizontal="right" vertical="center"/>
    </xf>
    <xf numFmtId="165" fontId="0" fillId="8" borderId="24" xfId="0" applyNumberFormat="1" applyFill="1" applyBorder="1" applyAlignment="1">
      <alignment horizontal="right" vertical="center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center" vertical="center"/>
    </xf>
    <xf numFmtId="164" fontId="0" fillId="3" borderId="29" xfId="0" applyNumberFormat="1" applyFill="1" applyBorder="1" applyAlignment="1">
      <alignment horizontal="right" vertical="center"/>
    </xf>
    <xf numFmtId="0" fontId="0" fillId="3" borderId="30" xfId="0" applyFill="1" applyBorder="1" applyAlignment="1">
      <alignment horizontal="left" vertical="center"/>
    </xf>
    <xf numFmtId="0" fontId="0" fillId="0" borderId="31" xfId="0" applyBorder="1" applyAlignment="1">
      <alignment horizontal="right"/>
    </xf>
    <xf numFmtId="0" fontId="0" fillId="2" borderId="34" xfId="0" applyFill="1" applyBorder="1" applyAlignment="1">
      <alignment horizontal="left" vertical="center"/>
    </xf>
    <xf numFmtId="0" fontId="0" fillId="8" borderId="33" xfId="0" applyFill="1" applyBorder="1" applyAlignment="1">
      <alignment horizontal="left" vertical="center"/>
    </xf>
    <xf numFmtId="0" fontId="0" fillId="0" borderId="35" xfId="0" applyBorder="1" applyAlignment="1">
      <alignment horizontal="right"/>
    </xf>
    <xf numFmtId="0" fontId="0" fillId="0" borderId="36" xfId="0" applyBorder="1" applyAlignment="1">
      <alignment horizontal="center" vertical="center"/>
    </xf>
    <xf numFmtId="2" fontId="0" fillId="8" borderId="40" xfId="0" applyNumberFormat="1" applyFill="1" applyBorder="1" applyAlignment="1">
      <alignment horizontal="right"/>
    </xf>
    <xf numFmtId="0" fontId="0" fillId="8" borderId="30" xfId="0" applyFill="1" applyBorder="1" applyAlignment="1">
      <alignment horizontal="left" vertical="center"/>
    </xf>
    <xf numFmtId="1" fontId="0" fillId="8" borderId="41" xfId="0" applyNumberFormat="1" applyFill="1" applyBorder="1" applyAlignment="1">
      <alignment horizontal="right"/>
    </xf>
    <xf numFmtId="0" fontId="0" fillId="8" borderId="37" xfId="0" applyFill="1" applyBorder="1" applyAlignment="1">
      <alignment horizontal="left" vertical="center"/>
    </xf>
    <xf numFmtId="11" fontId="0" fillId="2" borderId="26" xfId="0" applyNumberFormat="1" applyFill="1" applyBorder="1" applyAlignment="1">
      <alignment horizontal="right" vertical="center"/>
    </xf>
    <xf numFmtId="164" fontId="0" fillId="0" borderId="0" xfId="0" applyNumberFormat="1"/>
    <xf numFmtId="2" fontId="0" fillId="8" borderId="24" xfId="0" applyNumberFormat="1" applyFill="1" applyBorder="1" applyAlignment="1">
      <alignment horizontal="right"/>
    </xf>
    <xf numFmtId="0" fontId="0" fillId="0" borderId="42" xfId="0" applyBorder="1" applyAlignment="1">
      <alignment horizontal="right"/>
    </xf>
    <xf numFmtId="0" fontId="0" fillId="0" borderId="42" xfId="0" applyBorder="1" applyAlignment="1">
      <alignment horizontal="center" vertical="center"/>
    </xf>
    <xf numFmtId="0" fontId="0" fillId="0" borderId="42" xfId="0" applyBorder="1"/>
    <xf numFmtId="0" fontId="0" fillId="0" borderId="0" xfId="0" applyAlignment="1">
      <alignment horizontal="left"/>
    </xf>
    <xf numFmtId="11" fontId="0" fillId="0" borderId="0" xfId="0" applyNumberFormat="1" applyAlignment="1">
      <alignment horizontal="center"/>
    </xf>
    <xf numFmtId="0" fontId="1" fillId="0" borderId="0" xfId="0" applyFont="1"/>
    <xf numFmtId="164" fontId="0" fillId="7" borderId="0" xfId="0" applyNumberFormat="1" applyFill="1" applyAlignment="1">
      <alignment horizontal="center" vertical="center"/>
    </xf>
    <xf numFmtId="164" fontId="0" fillId="7" borderId="10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right"/>
    </xf>
    <xf numFmtId="11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right"/>
    </xf>
    <xf numFmtId="11" fontId="0" fillId="8" borderId="6" xfId="0" applyNumberForma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0" xfId="0" applyFill="1"/>
    <xf numFmtId="0" fontId="0" fillId="8" borderId="6" xfId="0" applyFill="1" applyBorder="1"/>
    <xf numFmtId="0" fontId="0" fillId="8" borderId="0" xfId="0" applyFill="1" applyAlignment="1">
      <alignment horizontal="center" vertical="center"/>
    </xf>
    <xf numFmtId="0" fontId="0" fillId="8" borderId="11" xfId="0" applyFill="1" applyBorder="1"/>
    <xf numFmtId="0" fontId="0" fillId="8" borderId="9" xfId="0" applyFill="1" applyBorder="1" applyAlignment="1">
      <alignment horizontal="right"/>
    </xf>
    <xf numFmtId="167" fontId="0" fillId="0" borderId="0" xfId="0" applyNumberFormat="1"/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0" fillId="0" borderId="25" xfId="0" applyBorder="1"/>
    <xf numFmtId="0" fontId="0" fillId="0" borderId="47" xfId="0" applyBorder="1"/>
    <xf numFmtId="0" fontId="0" fillId="0" borderId="45" xfId="0" applyBorder="1" applyAlignment="1">
      <alignment wrapText="1"/>
    </xf>
    <xf numFmtId="0" fontId="1" fillId="0" borderId="46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25" xfId="0" applyBorder="1" applyAlignment="1">
      <alignment horizontal="right"/>
    </xf>
    <xf numFmtId="0" fontId="0" fillId="0" borderId="47" xfId="0" applyBorder="1" applyAlignment="1">
      <alignment horizontal="center" vertical="center"/>
    </xf>
    <xf numFmtId="0" fontId="0" fillId="14" borderId="25" xfId="0" applyFill="1" applyBorder="1" applyAlignment="1">
      <alignment horizontal="right"/>
    </xf>
    <xf numFmtId="0" fontId="0" fillId="14" borderId="47" xfId="0" applyFill="1" applyBorder="1" applyAlignment="1">
      <alignment horizontal="center" vertical="center"/>
    </xf>
    <xf numFmtId="0" fontId="0" fillId="14" borderId="47" xfId="0" applyFill="1" applyBorder="1"/>
    <xf numFmtId="0" fontId="0" fillId="14" borderId="0" xfId="0" applyFill="1"/>
    <xf numFmtId="0" fontId="1" fillId="15" borderId="0" xfId="0" applyFont="1" applyFill="1" applyAlignment="1">
      <alignment horizontal="center" vertical="center"/>
    </xf>
    <xf numFmtId="0" fontId="0" fillId="4" borderId="49" xfId="0" applyFill="1" applyBorder="1" applyAlignment="1">
      <alignment horizontal="right"/>
    </xf>
    <xf numFmtId="0" fontId="4" fillId="0" borderId="0" xfId="0" applyFont="1"/>
    <xf numFmtId="0" fontId="1" fillId="13" borderId="0" xfId="0" applyFont="1" applyFill="1" applyAlignment="1">
      <alignment horizontal="center" vertical="center"/>
    </xf>
    <xf numFmtId="1" fontId="0" fillId="0" borderId="0" xfId="0" applyNumberFormat="1"/>
    <xf numFmtId="0" fontId="0" fillId="11" borderId="52" xfId="0" applyFill="1" applyBorder="1" applyAlignment="1">
      <alignment horizontal="right"/>
    </xf>
    <xf numFmtId="167" fontId="0" fillId="0" borderId="33" xfId="0" applyNumberFormat="1" applyBorder="1"/>
    <xf numFmtId="0" fontId="0" fillId="11" borderId="53" xfId="0" applyFill="1" applyBorder="1" applyAlignment="1">
      <alignment horizontal="right"/>
    </xf>
    <xf numFmtId="0" fontId="0" fillId="12" borderId="53" xfId="0" applyFill="1" applyBorder="1" applyAlignment="1">
      <alignment horizontal="right"/>
    </xf>
    <xf numFmtId="0" fontId="0" fillId="13" borderId="53" xfId="0" applyFill="1" applyBorder="1" applyAlignment="1">
      <alignment horizontal="right"/>
    </xf>
    <xf numFmtId="0" fontId="0" fillId="15" borderId="53" xfId="0" applyFill="1" applyBorder="1" applyAlignment="1">
      <alignment horizontal="right"/>
    </xf>
    <xf numFmtId="0" fontId="0" fillId="15" borderId="54" xfId="0" applyFill="1" applyBorder="1" applyAlignment="1">
      <alignment horizontal="right"/>
    </xf>
    <xf numFmtId="167" fontId="0" fillId="0" borderId="37" xfId="0" applyNumberFormat="1" applyBorder="1"/>
    <xf numFmtId="0" fontId="1" fillId="0" borderId="55" xfId="0" applyFont="1" applyBorder="1" applyAlignment="1">
      <alignment horizontal="right"/>
    </xf>
    <xf numFmtId="1" fontId="0" fillId="16" borderId="0" xfId="0" applyNumberFormat="1" applyFill="1"/>
    <xf numFmtId="1" fontId="0" fillId="16" borderId="36" xfId="0" applyNumberFormat="1" applyFill="1" applyBorder="1"/>
    <xf numFmtId="167" fontId="0" fillId="17" borderId="33" xfId="0" applyNumberFormat="1" applyFill="1" applyBorder="1"/>
    <xf numFmtId="1" fontId="1" fillId="0" borderId="50" xfId="0" applyNumberFormat="1" applyFont="1" applyBorder="1" applyAlignment="1">
      <alignment horizontal="center" vertical="center"/>
    </xf>
    <xf numFmtId="167" fontId="1" fillId="0" borderId="51" xfId="0" applyNumberFormat="1" applyFont="1" applyBorder="1" applyAlignment="1">
      <alignment horizontal="center" vertical="center"/>
    </xf>
    <xf numFmtId="167" fontId="0" fillId="16" borderId="33" xfId="0" applyNumberFormat="1" applyFill="1" applyBorder="1"/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" fontId="0" fillId="0" borderId="31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80"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theme="1"/>
        </bottom>
      </border>
    </dxf>
    <dxf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B43E3E"/>
      <color rgb="FFD17979"/>
      <color rgb="FF9B3535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14</xdr:row>
      <xdr:rowOff>0</xdr:rowOff>
    </xdr:from>
    <xdr:to>
      <xdr:col>15</xdr:col>
      <xdr:colOff>679449</xdr:colOff>
      <xdr:row>28</xdr:row>
      <xdr:rowOff>17513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B5BF77-6A46-4B1D-BCA1-2C4187190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7350" y="2603500"/>
          <a:ext cx="4527549" cy="264641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E39330-5AA9-4FAD-887B-4718523F2FE3}" name="Table1" displayName="Table1" ref="G29:G32" totalsRowShown="0" headerRowDxfId="79" dataDxfId="77" headerRowBorderDxfId="78" tableBorderDxfId="76">
  <autoFilter ref="G29:G32" xr:uid="{29E39330-5AA9-4FAD-887B-4718523F2FE3}"/>
  <tableColumns count="1">
    <tableColumn id="1" xr3:uid="{A656FBC7-0C9A-4D14-9CB0-CA54A793C358}" name="Bias Types" dataDxfId="7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D99996-8DBD-457D-83C0-2C9696695626}" name="Table13" displayName="Table13" ref="G29:G32" totalsRowShown="0" headerRowDxfId="74" dataDxfId="72" headerRowBorderDxfId="73" tableBorderDxfId="71">
  <autoFilter ref="G29:G32" xr:uid="{29E39330-5AA9-4FAD-887B-4718523F2FE3}"/>
  <tableColumns count="1">
    <tableColumn id="1" xr3:uid="{691B0CDE-0523-441A-BF95-6FA370BF5FFA}" name="Bias Types" dataDxfId="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F9ED9D-9590-4BAF-98E5-40105A2A6D36}" name="Table139" displayName="Table139" ref="G29:G32" totalsRowShown="0" headerRowDxfId="69" dataDxfId="67" headerRowBorderDxfId="68" tableBorderDxfId="66">
  <autoFilter ref="G29:G32" xr:uid="{29E39330-5AA9-4FAD-887B-4718523F2FE3}"/>
  <tableColumns count="1">
    <tableColumn id="1" xr3:uid="{D5832743-19BF-41F8-98B8-6BD1C8096C3A}" name="Bias Types" dataDxfId="6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7B3F72-17C0-466D-92DF-CA5D5DF44044}" name="Table13456" displayName="Table13456" ref="G29:G32" totalsRowShown="0" headerRowDxfId="64" dataDxfId="62" headerRowBorderDxfId="63" tableBorderDxfId="61">
  <autoFilter ref="G29:G32" xr:uid="{29E39330-5AA9-4FAD-887B-4718523F2FE3}"/>
  <tableColumns count="1">
    <tableColumn id="1" xr3:uid="{EBF7726C-9AA8-44D6-93F6-9BC3AE46C10D}" name="Bias Types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CD614F-764A-48DB-8845-DB5839C492A7}" name="Table1345678" displayName="Table1345678" ref="G29:G32" totalsRowShown="0" headerRowDxfId="59" dataDxfId="57" headerRowBorderDxfId="58" tableBorderDxfId="56">
  <autoFilter ref="G29:G32" xr:uid="{29E39330-5AA9-4FAD-887B-4718523F2FE3}"/>
  <tableColumns count="1">
    <tableColumn id="1" xr3:uid="{799EB931-D980-4533-A6BC-AD89BAEB9768}" name="Bias Types" dataDxfId="5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7CF8E5-4CC2-400C-9342-9823F39BFA75}" name="Table1345" displayName="Table1345" ref="G29:G32" totalsRowShown="0" headerRowDxfId="54" dataDxfId="52" headerRowBorderDxfId="53" tableBorderDxfId="51">
  <autoFilter ref="G29:G32" xr:uid="{29E39330-5AA9-4FAD-887B-4718523F2FE3}"/>
  <tableColumns count="1">
    <tableColumn id="1" xr3:uid="{27B20DB2-4F76-464F-81D5-906A6CC940EB}" name="Bias Types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9696BB-E093-4055-8E25-5A731AD277B4}" name="Table134567" displayName="Table134567" ref="G29:G32" totalsRowShown="0" headerRowDxfId="49" dataDxfId="47" headerRowBorderDxfId="48" tableBorderDxfId="46">
  <autoFilter ref="G29:G32" xr:uid="{29E39330-5AA9-4FAD-887B-4718523F2FE3}"/>
  <tableColumns count="1">
    <tableColumn id="1" xr3:uid="{BD42DD83-112A-4AFC-8960-7A7EE73D9D35}" name="Bias Types" dataDxfId="4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289A41-26CF-41E8-8552-D18C8CC0559A}" name="Table13456784" displayName="Table13456784" ref="G29:G32" totalsRowShown="0" headerRowDxfId="44" dataDxfId="42" headerRowBorderDxfId="43" tableBorderDxfId="41">
  <autoFilter ref="G29:G32" xr:uid="{29E39330-5AA9-4FAD-887B-4718523F2FE3}"/>
  <tableColumns count="1">
    <tableColumn id="1" xr3:uid="{A22DD3EE-159A-4D5F-AB6F-BAB203C89671}" name="Bias Types" dataDxfId="4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FFABD0-F7F4-4323-814F-25A2858A0481}" name="Table1345678410" displayName="Table1345678410" ref="G29:G32" totalsRowShown="0" headerRowDxfId="39" dataDxfId="37" headerRowBorderDxfId="38" tableBorderDxfId="36">
  <autoFilter ref="G29:G32" xr:uid="{29E39330-5AA9-4FAD-887B-4718523F2FE3}"/>
  <tableColumns count="1">
    <tableColumn id="1" xr3:uid="{2B7FF7F6-1347-45B2-AD4C-48D20D183285}" name="Bias Types" dataDxfId="3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71CA90-3DB2-4A7C-A595-0CB26C75ED33}" name="Table134567841011" displayName="Table134567841011" ref="G29:G32" totalsRowShown="0" headerRowDxfId="34" dataDxfId="32" headerRowBorderDxfId="33" tableBorderDxfId="31">
  <autoFilter ref="G29:G32" xr:uid="{29E39330-5AA9-4FAD-887B-4718523F2FE3}"/>
  <tableColumns count="1">
    <tableColumn id="1" xr3:uid="{8085334C-F116-4F70-A1BA-47768D7A7D05}" name="Bias Types" dataDxfId="3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BCFAED0-571F-4800-91D2-2089E3046BD7}" name="Table13456784101112" displayName="Table13456784101112" ref="G29:G32" totalsRowShown="0" headerRowDxfId="29" dataDxfId="27" headerRowBorderDxfId="28" tableBorderDxfId="26">
  <autoFilter ref="G29:G32" xr:uid="{29E39330-5AA9-4FAD-887B-4718523F2FE3}"/>
  <tableColumns count="1">
    <tableColumn id="1" xr3:uid="{77A90294-9D8F-4CA4-8B67-E96D3481E5B5}" name="Bias Types" dataDxfId="2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C8E972F-FD4E-4D86-B118-39501D320194}" name="Table1345678410111217" displayName="Table1345678410111217" ref="G29:G32" totalsRowShown="0" headerRowDxfId="24" dataDxfId="22" headerRowBorderDxfId="23" tableBorderDxfId="21">
  <autoFilter ref="G29:G32" xr:uid="{29E39330-5AA9-4FAD-887B-4718523F2FE3}"/>
  <tableColumns count="1">
    <tableColumn id="1" xr3:uid="{64056661-DFE2-4307-BA66-5D1CA8B42EC2}" name="Bias Types" dataDxfId="2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2157F22-5CC8-470C-BBBF-5B6A5DF79A64}" name="Table1345678410111213" displayName="Table1345678410111213" ref="G29:G32" totalsRowShown="0" headerRowDxfId="19" dataDxfId="17" headerRowBorderDxfId="18" tableBorderDxfId="16">
  <autoFilter ref="G29:G32" xr:uid="{29E39330-5AA9-4FAD-887B-4718523F2FE3}"/>
  <tableColumns count="1">
    <tableColumn id="1" xr3:uid="{B796D17A-B5F7-490A-8FAB-A3E1B0A09BD4}" name="Bias Type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1D1B436-DF81-4F17-9B36-6D8762E4E6DE}" name="Table134567841011121314" displayName="Table134567841011121314" ref="G29:G32" totalsRowShown="0" headerRowDxfId="14" dataDxfId="12" headerRowBorderDxfId="13" tableBorderDxfId="11">
  <autoFilter ref="G29:G32" xr:uid="{29E39330-5AA9-4FAD-887B-4718523F2FE3}"/>
  <tableColumns count="1">
    <tableColumn id="1" xr3:uid="{ADFB6231-C5C5-49D2-831F-73BE26577907}" name="Bias Types" dataDxfId="1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0A1BE0E-A95A-4199-B575-D02F7D9E8763}" name="Table134567841011121315" displayName="Table134567841011121315" ref="G29:G32" totalsRowShown="0" headerRowDxfId="9" dataDxfId="7" headerRowBorderDxfId="8" tableBorderDxfId="6">
  <autoFilter ref="G29:G32" xr:uid="{29E39330-5AA9-4FAD-887B-4718523F2FE3}"/>
  <tableColumns count="1">
    <tableColumn id="1" xr3:uid="{6AD8C4FC-C4BB-415C-B926-39114A85926F}" name="Bias Types" dataDxfId="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285C9AB-B97A-4F29-9DA2-AAE81CA155E6}" name="Table134567841011121316" displayName="Table134567841011121316" ref="G29:G32" totalsRowShown="0" headerRowDxfId="4" dataDxfId="2" headerRowBorderDxfId="3" tableBorderDxfId="1">
  <autoFilter ref="G29:G32" xr:uid="{29E39330-5AA9-4FAD-887B-4718523F2FE3}"/>
  <tableColumns count="1">
    <tableColumn id="1" xr3:uid="{2B8047E1-F7AD-4C9E-B23C-DE0E96DB1139}" name="Bias Typ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EA14-76A8-46B5-A6E6-1F8FE8C30AEF}">
  <sheetPr codeName="Sheet12">
    <tabColor theme="4"/>
  </sheetPr>
  <dimension ref="C1:E20"/>
  <sheetViews>
    <sheetView workbookViewId="0">
      <selection activeCell="G29" sqref="G29"/>
    </sheetView>
  </sheetViews>
  <sheetFormatPr defaultRowHeight="14.5"/>
  <cols>
    <col min="3" max="3" width="34.6328125" style="81" customWidth="1"/>
    <col min="4" max="4" width="20.453125" style="82" customWidth="1"/>
    <col min="5" max="5" width="24" style="82" customWidth="1"/>
  </cols>
  <sheetData>
    <row r="1" spans="3:5" s="83" customFormat="1" ht="29.5" thickBot="1">
      <c r="C1" s="84" t="s">
        <v>86</v>
      </c>
      <c r="D1" s="85" t="s">
        <v>85</v>
      </c>
      <c r="E1" s="85" t="s">
        <v>101</v>
      </c>
    </row>
    <row r="2" spans="3:5" ht="15" thickTop="1">
      <c r="C2" s="86" t="s">
        <v>79</v>
      </c>
      <c r="D2" s="87" t="s">
        <v>112</v>
      </c>
      <c r="E2" s="82">
        <f>VALUE(D2)*10^-3</f>
        <v>1.8886881256233001E-2</v>
      </c>
    </row>
    <row r="3" spans="3:5" s="91" customFormat="1">
      <c r="C3" s="88" t="s">
        <v>80</v>
      </c>
      <c r="D3" s="89" t="s">
        <v>113</v>
      </c>
      <c r="E3" s="90">
        <f t="shared" ref="E3:E11" si="0">VALUE(D3)*10^-3</f>
        <v>1.0000937458632101E-2</v>
      </c>
    </row>
    <row r="4" spans="3:5">
      <c r="C4" s="86" t="s">
        <v>81</v>
      </c>
      <c r="D4" s="87" t="s">
        <v>118</v>
      </c>
      <c r="E4" s="82">
        <f t="shared" si="0"/>
        <v>3.6583654651758104E-3</v>
      </c>
    </row>
    <row r="5" spans="3:5" s="91" customFormat="1">
      <c r="C5" s="88" t="s">
        <v>82</v>
      </c>
      <c r="D5" s="89" t="s">
        <v>119</v>
      </c>
      <c r="E5" s="90">
        <f t="shared" si="0"/>
        <v>7.9228753543876904E-3</v>
      </c>
    </row>
    <row r="6" spans="3:5">
      <c r="C6" s="86" t="s">
        <v>83</v>
      </c>
      <c r="D6" s="87" t="s">
        <v>120</v>
      </c>
      <c r="E6" s="82">
        <f t="shared" si="0"/>
        <v>5.0639867455939003E-3</v>
      </c>
    </row>
    <row r="7" spans="3:5" s="91" customFormat="1">
      <c r="C7" s="88" t="s">
        <v>84</v>
      </c>
      <c r="D7" s="89" t="s">
        <v>121</v>
      </c>
      <c r="E7" s="90">
        <f t="shared" si="0"/>
        <v>3.87706825262E-3</v>
      </c>
    </row>
    <row r="8" spans="3:5">
      <c r="C8" s="86" t="s">
        <v>96</v>
      </c>
      <c r="D8" s="87" t="s">
        <v>122</v>
      </c>
      <c r="E8" s="82">
        <f t="shared" si="0"/>
        <v>5.9021328552024905E-3</v>
      </c>
    </row>
    <row r="9" spans="3:5" s="91" customFormat="1">
      <c r="C9" s="88" t="s">
        <v>97</v>
      </c>
      <c r="D9" s="89" t="s">
        <v>123</v>
      </c>
      <c r="E9" s="90">
        <f t="shared" si="0"/>
        <v>3.5412476529089001E-3</v>
      </c>
    </row>
    <row r="10" spans="3:5">
      <c r="C10" s="86" t="s">
        <v>98</v>
      </c>
      <c r="D10" s="87" t="s">
        <v>124</v>
      </c>
      <c r="E10" s="82">
        <f t="shared" si="0"/>
        <v>3.5412857376151503E-3</v>
      </c>
    </row>
    <row r="11" spans="3:5" s="91" customFormat="1">
      <c r="C11" s="88" t="s">
        <v>99</v>
      </c>
      <c r="D11" s="89" t="s">
        <v>125</v>
      </c>
      <c r="E11" s="90">
        <f t="shared" si="0"/>
        <v>3.5413572993419603E-3</v>
      </c>
    </row>
    <row r="12" spans="3:5">
      <c r="C12" s="86" t="s">
        <v>100</v>
      </c>
      <c r="D12" s="87" t="s">
        <v>126</v>
      </c>
      <c r="E12" s="82">
        <f>VALUE(D12)*10^-3</f>
        <v>2.3608584208116802E-3</v>
      </c>
    </row>
    <row r="13" spans="3:5" s="91" customFormat="1">
      <c r="C13" s="88" t="s">
        <v>108</v>
      </c>
      <c r="D13" s="89" t="s">
        <v>114</v>
      </c>
      <c r="E13" s="82">
        <f t="shared" ref="E13:E16" si="1">VALUE(D13)*10^-3</f>
        <v>3.7080225722720003E-4</v>
      </c>
    </row>
    <row r="14" spans="3:5">
      <c r="C14" s="86" t="s">
        <v>109</v>
      </c>
      <c r="D14" s="87" t="s">
        <v>115</v>
      </c>
      <c r="E14" s="82">
        <f t="shared" si="1"/>
        <v>3.0528807330247002E-4</v>
      </c>
    </row>
    <row r="15" spans="3:5" s="91" customFormat="1">
      <c r="C15" s="88" t="s">
        <v>110</v>
      </c>
      <c r="D15" s="89" t="s">
        <v>116</v>
      </c>
      <c r="E15" s="82">
        <f t="shared" si="1"/>
        <v>2.5791235460178002E-4</v>
      </c>
    </row>
    <row r="16" spans="3:5">
      <c r="C16" s="86" t="s">
        <v>111</v>
      </c>
      <c r="D16" s="87" t="s">
        <v>117</v>
      </c>
      <c r="E16" s="82">
        <f t="shared" si="1"/>
        <v>2.2327899852197001E-4</v>
      </c>
    </row>
    <row r="17" spans="3:5" s="83" customFormat="1" ht="15" thickBot="1">
      <c r="C17" s="84" t="s">
        <v>103</v>
      </c>
      <c r="D17" s="85"/>
      <c r="E17" s="85" t="s">
        <v>107</v>
      </c>
    </row>
    <row r="18" spans="3:5" s="91" customFormat="1" ht="15" thickTop="1">
      <c r="C18" s="88" t="s">
        <v>104</v>
      </c>
      <c r="D18" s="90"/>
      <c r="E18" s="90">
        <f>SUM(E8:E9)</f>
        <v>9.443380508111391E-3</v>
      </c>
    </row>
    <row r="19" spans="3:5" s="91" customFormat="1">
      <c r="C19" s="88" t="s">
        <v>105</v>
      </c>
      <c r="D19" s="90"/>
      <c r="E19" s="90">
        <f>SUM(E8:E10)</f>
        <v>1.2984666245726542E-2</v>
      </c>
    </row>
    <row r="20" spans="3:5" s="91" customFormat="1">
      <c r="C20" s="88" t="s">
        <v>106</v>
      </c>
      <c r="D20" s="90"/>
      <c r="E20" s="90">
        <f>SUM(E8:E11)</f>
        <v>1.6526023545068502E-2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F06E-DA3C-47CF-B079-9F1C1261DD0F}">
  <sheetPr codeName="Sheet18">
    <tabColor theme="0"/>
  </sheetPr>
  <dimension ref="A1:F15"/>
  <sheetViews>
    <sheetView tabSelected="1" zoomScale="130" zoomScaleNormal="130" workbookViewId="0">
      <selection activeCell="G5" sqref="G5"/>
    </sheetView>
  </sheetViews>
  <sheetFormatPr defaultRowHeight="14.5"/>
  <cols>
    <col min="1" max="1" width="20.36328125" style="1" customWidth="1"/>
    <col min="2" max="2" width="6.90625" style="96" customWidth="1"/>
    <col min="3" max="3" width="11.81640625" style="76" customWidth="1"/>
  </cols>
  <sheetData>
    <row r="1" spans="1:6">
      <c r="A1" s="105" t="s">
        <v>127</v>
      </c>
      <c r="B1" s="109" t="s">
        <v>15</v>
      </c>
      <c r="C1" s="110" t="s">
        <v>11</v>
      </c>
    </row>
    <row r="2" spans="1:6">
      <c r="A2" s="97" t="str">
        <f ca="1">RectX!A1</f>
        <v>RectX</v>
      </c>
      <c r="B2" s="106" cm="1">
        <f t="array" aca="1" ref="B2" ca="1">INDIRECT("'"&amp;$A2&amp;"'"&amp;"!"&amp;"$D$14")</f>
        <v>80</v>
      </c>
      <c r="C2" s="98" cm="1">
        <f t="array" aca="1" ref="C2" ca="1">INDIRECT("'"&amp;$A2&amp;"'"&amp;"!"&amp;"$D$12")</f>
        <v>121.78575713782529</v>
      </c>
    </row>
    <row r="3" spans="1:6">
      <c r="A3" s="99" t="str">
        <f ca="1">RectY!A1</f>
        <v>RectY</v>
      </c>
      <c r="B3" s="106" cm="1">
        <f t="array" aca="1" ref="B3" ca="1">INDIRECT("'"&amp;$A3&amp;"'"&amp;"!"&amp;"$D$14")</f>
        <v>135</v>
      </c>
      <c r="C3" s="111" cm="1">
        <f t="array" aca="1" ref="C3" ca="1">INDIRECT("'"&amp;$A3&amp;"'"&amp;"!"&amp;"$D$12")</f>
        <v>5</v>
      </c>
    </row>
    <row r="4" spans="1:6">
      <c r="A4" s="100" t="str">
        <f ca="1">IOX!A1</f>
        <v>IOX</v>
      </c>
      <c r="B4" s="106" cm="1">
        <f t="array" aca="1" ref="B4" ca="1">INDIRECT("'"&amp;$A4&amp;"'"&amp;"!"&amp;"$D$14")</f>
        <v>80</v>
      </c>
      <c r="C4" s="98" cm="1">
        <f t="array" aca="1" ref="C4" ca="1">INDIRECT("'"&amp;$A4&amp;"'"&amp;"!"&amp;"$D$12")</f>
        <v>1.9084489173353794</v>
      </c>
    </row>
    <row r="5" spans="1:6">
      <c r="A5" s="100" t="str">
        <f ca="1">ExpSpl!A1</f>
        <v>ExpSpl</v>
      </c>
      <c r="B5" s="106" cm="1">
        <f t="array" aca="1" ref="B5" ca="1">INDIRECT("'"&amp;$A5&amp;"'"&amp;"!"&amp;"$D$14")</f>
        <v>80</v>
      </c>
      <c r="C5" s="108" cm="1">
        <f t="array" aca="1" ref="C5" ca="1">INDIRECT("'"&amp;$A5&amp;"'"&amp;"!"&amp;"$D$12")</f>
        <v>1</v>
      </c>
    </row>
    <row r="6" spans="1:6">
      <c r="A6" s="100" t="str">
        <f ca="1">ExpY!A1</f>
        <v>ExpY</v>
      </c>
      <c r="B6" s="106" cm="1">
        <f t="array" aca="1" ref="B6" ca="1">INDIRECT("'"&amp;$A6&amp;"'"&amp;"!"&amp;"$D$14")</f>
        <v>80</v>
      </c>
      <c r="C6" s="108" cm="1">
        <f t="array" aca="1" ref="C6" ca="1">INDIRECT("'"&amp;$A6&amp;"'"&amp;"!"&amp;"$D$12")</f>
        <v>1</v>
      </c>
    </row>
    <row r="7" spans="1:6">
      <c r="A7" s="101" t="str">
        <f ca="1">ExpSpl1!A1</f>
        <v>ExpSpl1</v>
      </c>
      <c r="B7" s="96" cm="1">
        <f t="array" aca="1" ref="B7" ca="1">INDIRECT("'"&amp;$A7&amp;"'"&amp;"!"&amp;"$D$14")</f>
        <v>30</v>
      </c>
      <c r="C7" s="108" cm="1">
        <f t="array" aca="1" ref="C7" ca="1">INDIRECT("'"&amp;$A7&amp;"'"&amp;"!"&amp;"$D$12")</f>
        <v>1</v>
      </c>
      <c r="D7" s="138"/>
      <c r="E7" s="139"/>
      <c r="F7" s="139"/>
    </row>
    <row r="8" spans="1:6">
      <c r="A8" s="101" t="str">
        <f ca="1">ExpSpl2!A1</f>
        <v>ExpSpl2</v>
      </c>
      <c r="B8" s="96" cm="1">
        <f t="array" aca="1" ref="B8" ca="1">INDIRECT("'"&amp;$A8&amp;"'"&amp;"!"&amp;"$D$14")</f>
        <v>18</v>
      </c>
      <c r="C8" s="108" cm="1">
        <f t="array" aca="1" ref="C8" ca="1">INDIRECT("'"&amp;$A8&amp;"'"&amp;"!"&amp;"$D$12")</f>
        <v>1</v>
      </c>
      <c r="D8" s="138"/>
      <c r="E8" s="140"/>
      <c r="F8" s="140"/>
    </row>
    <row r="9" spans="1:6">
      <c r="A9" s="101" t="str">
        <f ca="1">ExpSpl3!A1</f>
        <v>ExpSpl3</v>
      </c>
      <c r="B9" s="96" cm="1">
        <f t="array" aca="1" ref="B9" ca="1">INDIRECT("'"&amp;$A9&amp;"'"&amp;"!"&amp;"$D$14")</f>
        <v>18</v>
      </c>
      <c r="C9" s="108" cm="1">
        <f t="array" aca="1" ref="C9" ca="1">INDIRECT("'"&amp;$A9&amp;"'"&amp;"!"&amp;"$D$12")</f>
        <v>1</v>
      </c>
      <c r="E9" s="140"/>
      <c r="F9" s="140"/>
    </row>
    <row r="10" spans="1:6">
      <c r="A10" s="101" t="str">
        <f ca="1">ExpSpl4!A1</f>
        <v>ExpSpl4</v>
      </c>
      <c r="B10" s="96" cm="1">
        <f t="array" aca="1" ref="B10" ca="1">INDIRECT("'"&amp;$A10&amp;"'"&amp;"!"&amp;"$D$14")</f>
        <v>18</v>
      </c>
      <c r="C10" s="108" cm="1">
        <f t="array" aca="1" ref="C10" ca="1">INDIRECT("'"&amp;$A10&amp;"'"&amp;"!"&amp;"$D$12")</f>
        <v>1</v>
      </c>
      <c r="F10" s="140"/>
    </row>
    <row r="11" spans="1:6">
      <c r="A11" s="101" t="str">
        <f ca="1">ExpSpl5!A1</f>
        <v>ExpSpl5</v>
      </c>
      <c r="B11" s="96" cm="1">
        <f t="array" aca="1" ref="B11" ca="1">INDIRECT("'"&amp;$A11&amp;"'"&amp;"!"&amp;"$D$14")</f>
        <v>12</v>
      </c>
      <c r="C11" s="108" cm="1">
        <f t="array" aca="1" ref="C11" ca="1">INDIRECT("'"&amp;$A11&amp;"'"&amp;"!"&amp;"$D$12")</f>
        <v>1</v>
      </c>
      <c r="E11" s="94"/>
    </row>
    <row r="12" spans="1:6">
      <c r="A12" s="102" t="str">
        <f ca="1">ExpPar1!A1</f>
        <v>ExpPar1</v>
      </c>
      <c r="B12" s="106" cm="1">
        <f t="array" aca="1" ref="B12" ca="1">INDIRECT("'"&amp;$A12&amp;"'"&amp;"!"&amp;"$D$14")</f>
        <v>80</v>
      </c>
      <c r="C12" s="98" cm="1">
        <f t="array" aca="1" ref="C12" ca="1">INDIRECT("'"&amp;$A12&amp;"'"&amp;"!"&amp;"$D$12")</f>
        <v>4.1555313084094223</v>
      </c>
    </row>
    <row r="13" spans="1:6">
      <c r="A13" s="102" t="str">
        <f ca="1">ExpPar2!A1</f>
        <v>ExpPar2</v>
      </c>
      <c r="B13" s="106" cm="1">
        <f t="array" aca="1" ref="B13" ca="1">INDIRECT("'"&amp;$A13&amp;"'"&amp;"!"&amp;"$D$14")</f>
        <v>80</v>
      </c>
      <c r="C13" s="98" cm="1">
        <f t="array" aca="1" ref="C13" ca="1">INDIRECT("'"&amp;$A13&amp;"'"&amp;"!"&amp;"$D$12")</f>
        <v>17.627357725525719</v>
      </c>
    </row>
    <row r="14" spans="1:6">
      <c r="A14" s="102" t="str">
        <f ca="1">ExpPar3!A1</f>
        <v>ExpPar3</v>
      </c>
      <c r="B14" s="106" cm="1">
        <f t="array" aca="1" ref="B14" ca="1">INDIRECT("'"&amp;$A14&amp;"'"&amp;"!"&amp;"$D$14")</f>
        <v>80</v>
      </c>
      <c r="C14" s="98" cm="1">
        <f t="array" aca="1" ref="C14" ca="1">INDIRECT("'"&amp;$A14&amp;"'"&amp;"!"&amp;"$D$12")</f>
        <v>11.863117995024121</v>
      </c>
    </row>
    <row r="15" spans="1:6" ht="15" thickBot="1">
      <c r="A15" s="103" t="str">
        <f ca="1">ExpPar4!A1</f>
        <v>ExpPar4</v>
      </c>
      <c r="B15" s="107" cm="1">
        <f t="array" aca="1" ref="B15" ca="1">INDIRECT("'"&amp;$A15&amp;"'"&amp;"!"&amp;"$D$14")</f>
        <v>80</v>
      </c>
      <c r="C15" s="104" cm="1">
        <f t="array" aca="1" ref="C15" ca="1">INDIRECT("'"&amp;$A15&amp;"'"&amp;"!"&amp;"$D$12")</f>
        <v>9.918350950974423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U32"/>
  <sheetViews>
    <sheetView topLeftCell="L1" zoomScaleNormal="100" workbookViewId="0">
      <selection activeCell="I16" sqref="I16"/>
    </sheetView>
  </sheetViews>
  <sheetFormatPr defaultRowHeight="14.5"/>
  <cols>
    <col min="1" max="1" width="10.81640625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  <col min="13" max="13" width="24.81640625" customWidth="1"/>
    <col min="14" max="14" width="16.08984375" customWidth="1"/>
    <col min="15" max="15" width="14.1796875" customWidth="1"/>
    <col min="16" max="16" width="9.7265625" customWidth="1"/>
    <col min="19" max="19" width="14.36328125" customWidth="1"/>
    <col min="20" max="20" width="11.54296875" customWidth="1"/>
    <col min="21" max="21" width="19.90625" customWidth="1"/>
  </cols>
  <sheetData>
    <row r="1" spans="1:21">
      <c r="A1" s="79" t="str" cm="1">
        <f t="array" aca="1" ref="A1" ca="1">MID(CELL("filename",A1),FIND("]",CELL("filename",A1))+1,31)</f>
        <v>RectX</v>
      </c>
      <c r="B1" s="59" t="s">
        <v>66</v>
      </c>
    </row>
    <row r="2" spans="1:21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  <c r="J2" s="61" t="s">
        <v>102</v>
      </c>
      <c r="M2" s="61" t="s">
        <v>47</v>
      </c>
    </row>
    <row r="3" spans="1:21">
      <c r="B3" s="40" t="s">
        <v>0</v>
      </c>
      <c r="C3" s="41" t="s">
        <v>10</v>
      </c>
      <c r="D3" s="42">
        <v>1.7075E-2</v>
      </c>
      <c r="E3" s="43" t="s">
        <v>31</v>
      </c>
      <c r="G3" s="31" t="s">
        <v>27</v>
      </c>
      <c r="H3" s="32" t="str">
        <f>IF(ISEVEN(D14),"EVEN","ODD")</f>
        <v>EVEN</v>
      </c>
      <c r="J3" s="93">
        <f>IF(D8=G30, D14, H4)</f>
        <v>80</v>
      </c>
      <c r="M3" s="112" t="s">
        <v>44</v>
      </c>
      <c r="N3" s="113"/>
      <c r="O3" s="113"/>
      <c r="P3" s="114"/>
    </row>
    <row r="4" spans="1:21">
      <c r="B4" s="44" t="s">
        <v>63</v>
      </c>
      <c r="D4" s="125" t="s">
        <v>1</v>
      </c>
      <c r="E4" s="126"/>
      <c r="G4" s="10" t="s">
        <v>30</v>
      </c>
      <c r="H4" s="12">
        <f>IF(H3="EVEN", D14/2, (D14+1)/2)</f>
        <v>40</v>
      </c>
      <c r="M4" s="64" t="s">
        <v>43</v>
      </c>
      <c r="N4" s="65">
        <v>1E-3</v>
      </c>
      <c r="O4" s="66" t="s">
        <v>0</v>
      </c>
      <c r="P4" s="67">
        <v>0.02</v>
      </c>
    </row>
    <row r="5" spans="1:21">
      <c r="B5" s="44" t="s">
        <v>64</v>
      </c>
      <c r="C5" s="4" t="str">
        <f>IF(D4=G22,"𝓁_target", "N")</f>
        <v>N</v>
      </c>
      <c r="D5" s="53">
        <v>80</v>
      </c>
      <c r="E5" s="45" t="str">
        <f>IF(D4=G22, "  [m]", "  [   ]")</f>
        <v xml:space="preserve">  [   ]</v>
      </c>
      <c r="G5"/>
      <c r="M5" s="64" t="s">
        <v>41</v>
      </c>
      <c r="N5" s="65">
        <v>1E-3</v>
      </c>
      <c r="O5" s="66" t="s">
        <v>40</v>
      </c>
      <c r="P5" s="68">
        <v>1.2</v>
      </c>
    </row>
    <row r="6" spans="1:21">
      <c r="B6" s="44" t="s">
        <v>56</v>
      </c>
      <c r="D6" s="127" t="s">
        <v>5</v>
      </c>
      <c r="E6" s="128"/>
      <c r="G6" s="23" t="s">
        <v>33</v>
      </c>
      <c r="M6" s="64" t="s">
        <v>42</v>
      </c>
      <c r="N6" s="65">
        <v>1.1000000000000001E-3</v>
      </c>
      <c r="O6" s="69"/>
      <c r="P6" s="70"/>
    </row>
    <row r="7" spans="1:21">
      <c r="B7" s="44" t="s">
        <v>57</v>
      </c>
      <c r="C7" s="4" t="str">
        <f>IF(D6=G26, "B", "r")</f>
        <v>B</v>
      </c>
      <c r="D7" s="38">
        <v>121.78575713782529</v>
      </c>
      <c r="E7" s="45" t="s">
        <v>32</v>
      </c>
      <c r="G7" s="135" t="s">
        <v>8</v>
      </c>
      <c r="H7" s="136"/>
      <c r="I7" s="136"/>
      <c r="J7" s="137"/>
      <c r="M7" s="115" t="s">
        <v>39</v>
      </c>
      <c r="N7" s="116"/>
      <c r="O7" s="116"/>
      <c r="P7" s="117"/>
    </row>
    <row r="8" spans="1:21" ht="15" thickBot="1">
      <c r="B8" s="47" t="s">
        <v>22</v>
      </c>
      <c r="C8" s="48"/>
      <c r="D8" s="129" t="s">
        <v>25</v>
      </c>
      <c r="E8" s="130"/>
      <c r="G8" s="8" t="s">
        <v>7</v>
      </c>
      <c r="H8" s="6" t="s">
        <v>25</v>
      </c>
      <c r="I8" s="20">
        <f>D3*(1-D11)/(1-D11^D14)</f>
        <v>8.3333333349885445E-6</v>
      </c>
      <c r="J8" s="17" t="s">
        <v>31</v>
      </c>
      <c r="M8" s="64"/>
      <c r="N8" s="71" t="s">
        <v>45</v>
      </c>
      <c r="O8" s="71" t="s">
        <v>46</v>
      </c>
      <c r="P8" s="70"/>
      <c r="S8" s="4" t="s">
        <v>48</v>
      </c>
      <c r="T8" s="4" t="s">
        <v>49</v>
      </c>
      <c r="U8" s="4" t="s">
        <v>50</v>
      </c>
    </row>
    <row r="9" spans="1:21">
      <c r="G9" s="8" t="s">
        <v>6</v>
      </c>
      <c r="H9" s="6" t="s">
        <v>25</v>
      </c>
      <c r="I9" s="20">
        <f>I8*D11^(D14-1)</f>
        <v>1.0148813096834612E-3</v>
      </c>
      <c r="J9" s="17" t="s">
        <v>31</v>
      </c>
      <c r="M9" s="64" t="s">
        <v>35</v>
      </c>
      <c r="N9" s="62">
        <v>3.8523000000000002E-4</v>
      </c>
      <c r="O9" s="62">
        <v>1.9876999999999998E-3</v>
      </c>
      <c r="P9" s="70"/>
      <c r="R9" s="1" t="s">
        <v>51</v>
      </c>
      <c r="S9" s="60">
        <v>2.2415000000000001E-2</v>
      </c>
      <c r="T9" s="75"/>
      <c r="U9" s="60">
        <v>1E-4</v>
      </c>
    </row>
    <row r="10" spans="1:21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  <c r="M10" s="64" t="s">
        <v>36</v>
      </c>
      <c r="N10" s="62">
        <v>3.8523000000000002E-4</v>
      </c>
      <c r="O10" s="62">
        <v>1.9876999999999998E-3</v>
      </c>
      <c r="P10" s="70"/>
      <c r="R10" s="1" t="s">
        <v>52</v>
      </c>
      <c r="S10" s="60">
        <v>2.2506999999999999E-2</v>
      </c>
      <c r="T10" s="76">
        <v>1.0041043943787642</v>
      </c>
      <c r="U10" s="77">
        <v>1.0041043943787642E-4</v>
      </c>
    </row>
    <row r="11" spans="1:21">
      <c r="B11" s="40" t="s">
        <v>21</v>
      </c>
      <c r="C11" s="41" t="s">
        <v>12</v>
      </c>
      <c r="D11" s="49">
        <f>IF(D6=G27, D7, D7^(1/(J3-1)))</f>
        <v>1.0626737570099885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  <c r="M11" s="64" t="s">
        <v>37</v>
      </c>
      <c r="N11" s="62">
        <v>3.9279000000000001E-4</v>
      </c>
      <c r="O11" s="62">
        <v>2.0267000000000002E-3</v>
      </c>
      <c r="P11" s="70"/>
    </row>
    <row r="12" spans="1:21">
      <c r="B12" s="44" t="s">
        <v>5</v>
      </c>
      <c r="C12" s="4" t="s">
        <v>11</v>
      </c>
      <c r="D12" s="55">
        <f>IF(D6=G26, D7, D7^(J3-1))</f>
        <v>121.78575713782529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  <c r="M12" s="64" t="s">
        <v>38</v>
      </c>
      <c r="N12" s="62">
        <v>4.2774000000000002E-4</v>
      </c>
      <c r="O12" s="62">
        <v>2.2070000000000002E-3</v>
      </c>
      <c r="P12" s="70"/>
      <c r="R12" s="1" t="s">
        <v>53</v>
      </c>
      <c r="S12" s="33">
        <v>1.6E-2</v>
      </c>
      <c r="T12" s="74">
        <v>0.99993750390600578</v>
      </c>
      <c r="U12" s="78">
        <v>1.029935629023186E-4</v>
      </c>
    </row>
    <row r="13" spans="1:21">
      <c r="B13" s="44" t="s">
        <v>2</v>
      </c>
      <c r="C13" s="4" t="s">
        <v>14</v>
      </c>
      <c r="D13" s="39">
        <f>IF(D4=G22, D5, D3/D5)</f>
        <v>2.134375E-4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  <c r="M13" s="73" t="s">
        <v>25</v>
      </c>
      <c r="N13" s="63">
        <v>1.0713E-4</v>
      </c>
      <c r="O13" s="63">
        <v>3.4226E-3</v>
      </c>
      <c r="P13" s="72"/>
      <c r="R13" s="1" t="s">
        <v>54</v>
      </c>
      <c r="S13" s="33">
        <v>1.6001000000000001E-2</v>
      </c>
      <c r="T13" s="74"/>
      <c r="U13" s="60">
        <v>1.03E-4</v>
      </c>
    </row>
    <row r="14" spans="1:21" ht="15" thickBot="1">
      <c r="B14" s="47" t="s">
        <v>1</v>
      </c>
      <c r="C14" s="48" t="s">
        <v>15</v>
      </c>
      <c r="D14" s="51">
        <f>IF(D4=G23, D5, _xlfn.CEILING.MATH(D3/D5))</f>
        <v>80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21">
      <c r="G15" s="132" t="s">
        <v>29</v>
      </c>
      <c r="H15" s="133"/>
      <c r="I15" s="133"/>
      <c r="J15" s="134"/>
    </row>
    <row r="16" spans="1:21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>
        <f>IF($H$3="EVEN", D3*(1-D11)/(2*(1-D11^H4)), "")</f>
        <v>5.1567610190425073E-5</v>
      </c>
      <c r="J16" s="17" t="s">
        <v>31</v>
      </c>
    </row>
    <row r="17" spans="2:10">
      <c r="B17" s="15" t="s">
        <v>7</v>
      </c>
      <c r="C17" s="25" t="s">
        <v>13</v>
      </c>
      <c r="D17" s="27" cm="1">
        <f t="array" ref="D17">_xlfn.XLOOKUP($D$8, IF($H$3="EVEN", CHOOSE({1,2,3},H8,H16,H18), CHOOSE({1,2,3},H8,H11,H13)), IF($H$3="EVEN", CHOOSE({1,2,3},I8,I16,I18), CHOOSE({1,2,3},I8,I11,I13)))</f>
        <v>8.3333333349885445E-6</v>
      </c>
      <c r="E17" s="28" t="s">
        <v>31</v>
      </c>
      <c r="G17" s="9" t="s">
        <v>20</v>
      </c>
      <c r="H17" s="7" t="s">
        <v>23</v>
      </c>
      <c r="I17" s="21">
        <f>IF($H$3="EVEN", I16*$D$11^($H$4-1), "")</f>
        <v>5.5204601298692593E-4</v>
      </c>
      <c r="J17" s="18" t="s">
        <v>31</v>
      </c>
    </row>
    <row r="18" spans="2:10" ht="15" thickBot="1">
      <c r="B18" s="16" t="s">
        <v>6</v>
      </c>
      <c r="C18" s="26" t="s">
        <v>16</v>
      </c>
      <c r="D18" s="29" cm="1">
        <f t="array" ref="D18">_xlfn.XLOOKUP($D$8, IF($H$3="EVEN", CHOOSE({1,2,3},H9,H17,H19), CHOOSE({1,2,3},H9,H12,H14)), IF($H$3="EVEN", CHOOSE({1,2,3},I9,I17,I19), CHOOSE({1,2,3},I9,I12,I14)))</f>
        <v>1.0148813096834612E-3</v>
      </c>
      <c r="E18" s="30" t="s">
        <v>31</v>
      </c>
      <c r="G18" s="8" t="s">
        <v>18</v>
      </c>
      <c r="H18" s="6" t="s">
        <v>24</v>
      </c>
      <c r="I18" s="20">
        <f>IF($H$3="EVEN", D3*(1-D11)/(2*(1-D11^H4)), "")</f>
        <v>5.1567610190425073E-5</v>
      </c>
      <c r="J18" s="17" t="s">
        <v>31</v>
      </c>
    </row>
    <row r="19" spans="2:10">
      <c r="D19" s="54"/>
      <c r="G19" s="10" t="s">
        <v>20</v>
      </c>
      <c r="H19" s="11" t="s">
        <v>24</v>
      </c>
      <c r="I19" s="22">
        <f>IF($H$3="EVEN", I18*$D$11^($H$4-1), "")</f>
        <v>5.5204601298692593E-4</v>
      </c>
      <c r="J19" s="19" t="s">
        <v>31</v>
      </c>
    </row>
    <row r="20" spans="2:10" ht="15" thickBot="1">
      <c r="B20" s="124" t="s">
        <v>72</v>
      </c>
      <c r="C20" s="124"/>
      <c r="D20" s="124"/>
      <c r="E20" s="124"/>
    </row>
    <row r="21" spans="2:10">
      <c r="B21" s="15" t="s">
        <v>75</v>
      </c>
      <c r="C21" s="25" t="s">
        <v>73</v>
      </c>
      <c r="D21" s="27">
        <v>8.333333333333332E-6</v>
      </c>
      <c r="E21" s="28" t="s">
        <v>31</v>
      </c>
      <c r="G21" s="35" t="s">
        <v>55</v>
      </c>
    </row>
    <row r="22" spans="2:10" ht="15" thickBot="1">
      <c r="B22" s="16" t="s">
        <v>74</v>
      </c>
      <c r="C22" s="26" t="s">
        <v>16</v>
      </c>
      <c r="D22" s="29">
        <f>ABS(D21-D17)</f>
        <v>1.6552124932180459E-15</v>
      </c>
      <c r="E22" s="30" t="s">
        <v>31</v>
      </c>
      <c r="G22" s="36" t="s">
        <v>2</v>
      </c>
    </row>
    <row r="23" spans="2:10" ht="15" thickBot="1">
      <c r="G23" s="37" t="s">
        <v>1</v>
      </c>
    </row>
    <row r="24" spans="2:10" ht="15" thickBot="1"/>
    <row r="25" spans="2:10">
      <c r="D25" s="33"/>
      <c r="G25" s="35" t="s">
        <v>56</v>
      </c>
    </row>
    <row r="26" spans="2:10">
      <c r="G26" s="36" t="s">
        <v>5</v>
      </c>
    </row>
    <row r="27" spans="2:10" ht="15" thickBot="1">
      <c r="B27" s="56"/>
      <c r="C27" s="57"/>
      <c r="D27" s="58"/>
      <c r="E27" s="58"/>
      <c r="G27" s="37" t="s">
        <v>58</v>
      </c>
    </row>
    <row r="28" spans="2:10" ht="15" thickTop="1">
      <c r="B28" s="118" t="s">
        <v>61</v>
      </c>
      <c r="C28" s="119"/>
      <c r="D28" s="119"/>
      <c r="E28" s="120"/>
    </row>
    <row r="29" spans="2:10">
      <c r="B29" s="118"/>
      <c r="C29" s="119"/>
      <c r="D29" s="119"/>
      <c r="E29" s="120"/>
      <c r="G29" s="14" t="s">
        <v>26</v>
      </c>
    </row>
    <row r="30" spans="2:10" ht="15" thickBot="1">
      <c r="B30" s="121"/>
      <c r="C30" s="122"/>
      <c r="D30" s="122"/>
      <c r="E30" s="123"/>
      <c r="G30" s="13" t="s">
        <v>25</v>
      </c>
    </row>
    <row r="31" spans="2:10" ht="15" thickTop="1">
      <c r="G31" s="4" t="s">
        <v>23</v>
      </c>
    </row>
    <row r="32" spans="2:10">
      <c r="G32" s="13" t="s">
        <v>24</v>
      </c>
    </row>
  </sheetData>
  <mergeCells count="12">
    <mergeCell ref="M3:P3"/>
    <mergeCell ref="M7:P7"/>
    <mergeCell ref="B28:E30"/>
    <mergeCell ref="B16:E16"/>
    <mergeCell ref="D4:E4"/>
    <mergeCell ref="D6:E6"/>
    <mergeCell ref="D8:E8"/>
    <mergeCell ref="B10:E10"/>
    <mergeCell ref="G15:J15"/>
    <mergeCell ref="G7:J7"/>
    <mergeCell ref="G10:J10"/>
    <mergeCell ref="B20:E20"/>
  </mergeCells>
  <dataValidations count="3">
    <dataValidation type="list" showErrorMessage="1" sqref="D4:E4" xr:uid="{FBD0A152-40CA-47AF-B2A6-AD5D7775228B}">
      <formula1>$G$22:$G$23</formula1>
    </dataValidation>
    <dataValidation type="list" showErrorMessage="1" sqref="D6:E6" xr:uid="{022C3BDD-EA81-4EF1-A218-21FCB2B8D89E}">
      <formula1>$G$26:$G$27</formula1>
    </dataValidation>
    <dataValidation type="list" showErrorMessage="1" sqref="H16:H19 H8:H9 H11:H14 D8:E8" xr:uid="{C13B2A97-A840-4DA8-8C1F-619E1CC1CB58}">
      <formula1>$G$30:$G$32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1237-B038-4912-BA86-6C687B2BD0CA}">
  <sheetPr codeName="Sheet2">
    <tabColor rgb="FF00B050"/>
  </sheetPr>
  <dimension ref="A1:K32"/>
  <sheetViews>
    <sheetView zoomScaleNormal="100" workbookViewId="0">
      <selection activeCell="D5" sqref="D5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79" t="str" cm="1">
        <f t="array" aca="1" ref="A1" ca="1">MID(CELL("filename",A1),FIND("]",CELL("filename",A1))+1,31)</f>
        <v>RectY</v>
      </c>
      <c r="B1" s="59" t="s">
        <v>65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  <c r="J2" s="61" t="s">
        <v>102</v>
      </c>
    </row>
    <row r="3" spans="1:10">
      <c r="B3" s="40" t="s">
        <v>0</v>
      </c>
      <c r="C3" s="41" t="s">
        <v>10</v>
      </c>
      <c r="D3" s="42">
        <v>6.7150000000000001E-2</v>
      </c>
      <c r="E3" s="43" t="s">
        <v>31</v>
      </c>
      <c r="G3" s="31" t="s">
        <v>27</v>
      </c>
      <c r="H3" s="32" t="str">
        <f>IF(ISEVEN(D14),"EVEN","ODD")</f>
        <v>ODD</v>
      </c>
      <c r="J3" s="93">
        <f>IF(D8=G30, D14, H4)</f>
        <v>68</v>
      </c>
    </row>
    <row r="4" spans="1:10">
      <c r="B4" s="44" t="s">
        <v>63</v>
      </c>
      <c r="D4" s="125" t="s">
        <v>1</v>
      </c>
      <c r="E4" s="126"/>
      <c r="G4" s="10" t="s">
        <v>30</v>
      </c>
      <c r="H4" s="12">
        <f>IF(H3="EVEN", D14/2, (D14+1)/2)</f>
        <v>68</v>
      </c>
    </row>
    <row r="5" spans="1:10">
      <c r="B5" s="44" t="s">
        <v>64</v>
      </c>
      <c r="C5" s="4" t="str">
        <f>IF(D4=G22,"𝓁_target", "N")</f>
        <v>N</v>
      </c>
      <c r="D5" s="53">
        <v>135</v>
      </c>
      <c r="E5" s="45" t="str">
        <f>IF(D4=G22, "  [m]", "  [   ]")</f>
        <v xml:space="preserve">  [   ]</v>
      </c>
      <c r="G5"/>
    </row>
    <row r="6" spans="1:10">
      <c r="B6" s="44" t="s">
        <v>56</v>
      </c>
      <c r="D6" s="125" t="s">
        <v>5</v>
      </c>
      <c r="E6" s="126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5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24</v>
      </c>
      <c r="E8" s="130"/>
      <c r="G8" s="8" t="s">
        <v>7</v>
      </c>
      <c r="H8" s="6" t="s">
        <v>25</v>
      </c>
      <c r="I8" s="20">
        <f>D3*(1-D11)/(1-D11^D14)</f>
        <v>6.6343618708770901E-5</v>
      </c>
      <c r="J8" s="17" t="s">
        <v>31</v>
      </c>
    </row>
    <row r="9" spans="1:10">
      <c r="G9" s="8" t="s">
        <v>6</v>
      </c>
      <c r="H9" s="6" t="s">
        <v>25</v>
      </c>
      <c r="I9" s="20">
        <f>I8*D11^(D14-1)</f>
        <v>1.6585904677192561E-3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D7^(1/(J3-1)))</f>
        <v>1.0243123008098591</v>
      </c>
      <c r="E11" s="50" t="s">
        <v>32</v>
      </c>
      <c r="G11" s="8" t="s">
        <v>17</v>
      </c>
      <c r="H11" s="6" t="s">
        <v>23</v>
      </c>
      <c r="I11" s="20">
        <f>IF(H3="ODD", D3*(1-D11)/(1+D11-2*D11^H4), "")</f>
        <v>1.9863835018541417E-4</v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D7^(J3-1))</f>
        <v>5</v>
      </c>
      <c r="E12" s="46" t="s">
        <v>32</v>
      </c>
      <c r="G12" s="9" t="s">
        <v>19</v>
      </c>
      <c r="H12" s="7" t="s">
        <v>23</v>
      </c>
      <c r="I12" s="21">
        <f>IF($H$3="ODD", I11*$D$11^($H$4-1), "")</f>
        <v>9.9319175092706601E-4</v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4.9740740740740746E-4</v>
      </c>
      <c r="E13" s="46" t="s">
        <v>31</v>
      </c>
      <c r="G13" s="8" t="s">
        <v>17</v>
      </c>
      <c r="H13" s="6" t="s">
        <v>24</v>
      </c>
      <c r="I13" s="20">
        <f>IF($H$3="ODD", D3*(1-D11)/(2-D11^H4-D11^(H4-1)), "")</f>
        <v>2.010168855543449E-4</v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135</v>
      </c>
      <c r="E14" s="52" t="s">
        <v>32</v>
      </c>
      <c r="G14" s="8" t="s">
        <v>19</v>
      </c>
      <c r="H14" s="6" t="s">
        <v>24</v>
      </c>
      <c r="I14" s="20">
        <f>IF($H$3="ODD", I13*$D$11^($H$4-1), "")</f>
        <v>1.0050844277717196E-3</v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 t="str">
        <f>IF($H$3="EVEN", D3*(1-D11)/(2*(1-D11^H4)), "")</f>
        <v/>
      </c>
      <c r="J16" s="17" t="s">
        <v>31</v>
      </c>
    </row>
    <row r="17" spans="2:10">
      <c r="B17" s="15" t="s">
        <v>7</v>
      </c>
      <c r="C17" s="25" t="s">
        <v>13</v>
      </c>
      <c r="D17" s="27" cm="1">
        <f t="array" ref="D17">_xlfn.XLOOKUP($D$8, IF($H$3="EVEN", CHOOSE({1,2,3},H8,H16,H18), CHOOSE({1,2,3},H8,H11,H13)), IF($H$3="EVEN", CHOOSE({1,2,3},I8,I16,I18), CHOOSE({1,2,3},I8,I11,I13)))</f>
        <v>2.010168855543449E-4</v>
      </c>
      <c r="E17" s="28" t="s">
        <v>31</v>
      </c>
      <c r="G17" s="9" t="s">
        <v>20</v>
      </c>
      <c r="H17" s="7" t="s">
        <v>23</v>
      </c>
      <c r="I17" s="21" t="str">
        <f>IF($H$3="EVEN", I16*$D$11^($H$4-1), "")</f>
        <v/>
      </c>
      <c r="J17" s="18" t="s">
        <v>31</v>
      </c>
    </row>
    <row r="18" spans="2:10" ht="15" thickBot="1">
      <c r="B18" s="16" t="s">
        <v>6</v>
      </c>
      <c r="C18" s="26" t="s">
        <v>16</v>
      </c>
      <c r="D18" s="29" cm="1">
        <f t="array" ref="D18">_xlfn.XLOOKUP($D$8, IF($H$3="EVEN", CHOOSE({1,2,3},H9,H17,H19), CHOOSE({1,2,3},H9,H12,H14)), IF($H$3="EVEN", CHOOSE({1,2,3},I9,I17,I19), CHOOSE({1,2,3},I9,I12,I14)))</f>
        <v>1.0050844277717196E-3</v>
      </c>
      <c r="E18" s="30" t="s">
        <v>31</v>
      </c>
      <c r="G18" s="8" t="s">
        <v>18</v>
      </c>
      <c r="H18" s="6" t="s">
        <v>24</v>
      </c>
      <c r="I18" s="20" t="str">
        <f>IF($H$3="EVEN", D3*(1-D11)/(2*(1-D11^H4)), "")</f>
        <v/>
      </c>
      <c r="J18" s="17" t="s">
        <v>31</v>
      </c>
    </row>
    <row r="19" spans="2:10">
      <c r="G19" s="10" t="s">
        <v>20</v>
      </c>
      <c r="H19" s="11" t="s">
        <v>24</v>
      </c>
      <c r="I19" s="22" t="str">
        <f>IF($H$3="EVEN", I18*$D$11^($H$4-1), "")</f>
        <v/>
      </c>
      <c r="J19" s="19" t="s">
        <v>31</v>
      </c>
    </row>
    <row r="20" spans="2:10" ht="15" thickBot="1"/>
    <row r="21" spans="2:10">
      <c r="G21" s="35" t="s">
        <v>55</v>
      </c>
    </row>
    <row r="22" spans="2:10">
      <c r="G22" s="36" t="s">
        <v>2</v>
      </c>
    </row>
    <row r="23" spans="2:10" ht="15" thickBot="1">
      <c r="G23" s="37" t="s">
        <v>1</v>
      </c>
    </row>
    <row r="24" spans="2:10" ht="15" thickBot="1"/>
    <row r="25" spans="2:10">
      <c r="G25" s="35" t="s">
        <v>56</v>
      </c>
    </row>
    <row r="26" spans="2:10">
      <c r="G26" s="36" t="s">
        <v>5</v>
      </c>
    </row>
    <row r="27" spans="2:10" ht="15" thickBot="1">
      <c r="G27" s="37" t="s">
        <v>58</v>
      </c>
    </row>
    <row r="29" spans="2:10">
      <c r="G29" s="14" t="s">
        <v>26</v>
      </c>
    </row>
    <row r="30" spans="2:10">
      <c r="G30" s="13" t="s">
        <v>25</v>
      </c>
    </row>
    <row r="31" spans="2:10">
      <c r="G31" s="4" t="s">
        <v>23</v>
      </c>
    </row>
    <row r="32" spans="2:10">
      <c r="G32" s="13" t="s">
        <v>24</v>
      </c>
    </row>
  </sheetData>
  <mergeCells count="8">
    <mergeCell ref="G15:J15"/>
    <mergeCell ref="B16:E16"/>
    <mergeCell ref="D8:E8"/>
    <mergeCell ref="D4:E4"/>
    <mergeCell ref="D6:E6"/>
    <mergeCell ref="G7:J7"/>
    <mergeCell ref="B10:E10"/>
    <mergeCell ref="G10:J10"/>
  </mergeCells>
  <dataValidations count="3">
    <dataValidation type="list" showErrorMessage="1" sqref="H16:H19 H8:H9 H11:H14 D8:E8" xr:uid="{1486B50C-D7B5-426D-9ED3-9F5A0E5F2F71}">
      <formula1>$G$30:$G$32</formula1>
    </dataValidation>
    <dataValidation type="list" showErrorMessage="1" sqref="D6:E6" xr:uid="{D2261356-91F4-4FF0-8EB6-338DB62D8AC8}">
      <formula1>$G$26:$G$27</formula1>
    </dataValidation>
    <dataValidation type="list" showErrorMessage="1" sqref="D4:E4" xr:uid="{F3FBDA96-33E6-4B97-B31A-C7E66F18FC27}">
      <formula1>$G$22:$G$23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FEEE-6D28-404F-AFE1-FC496BC0A218}">
  <sheetPr codeName="Sheet3">
    <tabColor rgb="FF00B050"/>
  </sheetPr>
  <dimension ref="A1:K32"/>
  <sheetViews>
    <sheetView zoomScaleNormal="100" workbookViewId="0">
      <selection activeCell="C23" sqref="C23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79"/>
      <c r="B1" s="59" t="s">
        <v>67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</row>
    <row r="3" spans="1:10">
      <c r="B3" s="40" t="s">
        <v>0</v>
      </c>
      <c r="C3" s="41" t="s">
        <v>10</v>
      </c>
      <c r="D3" s="42">
        <v>1.4999999999999999E-4</v>
      </c>
      <c r="E3" s="43" t="s">
        <v>31</v>
      </c>
      <c r="G3" s="31" t="s">
        <v>27</v>
      </c>
      <c r="H3" s="32" t="str">
        <f>IF(ISEVEN(D14),"EVEN","ODD")</f>
        <v>EVEN</v>
      </c>
    </row>
    <row r="4" spans="1:10">
      <c r="B4" s="44" t="s">
        <v>63</v>
      </c>
      <c r="D4" s="125" t="s">
        <v>1</v>
      </c>
      <c r="E4" s="126"/>
      <c r="G4" s="10" t="s">
        <v>30</v>
      </c>
      <c r="H4" s="12">
        <f>IF(H3="EVEN", D14/2, (D14+1)/2)</f>
        <v>9</v>
      </c>
    </row>
    <row r="5" spans="1:10">
      <c r="B5" s="44" t="s">
        <v>64</v>
      </c>
      <c r="C5" s="4" t="str">
        <f>IF(D4=G22,"𝓁_target", "N")</f>
        <v>N</v>
      </c>
      <c r="D5" s="53">
        <v>18</v>
      </c>
      <c r="E5" s="45" t="str">
        <f>IF(D4=G22, "  [m]", "  [   ]")</f>
        <v xml:space="preserve">  [   ]</v>
      </c>
      <c r="G5"/>
    </row>
    <row r="6" spans="1:10">
      <c r="B6" s="44" t="s">
        <v>56</v>
      </c>
      <c r="D6" s="127" t="s">
        <v>5</v>
      </c>
      <c r="E6" s="128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1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24</v>
      </c>
      <c r="E8" s="130"/>
      <c r="G8" s="8" t="s">
        <v>7</v>
      </c>
      <c r="H8" s="6" t="s">
        <v>25</v>
      </c>
      <c r="I8" s="20" t="e">
        <f>D3*(1-D11)/(1-D11^D14)</f>
        <v>#DIV/0!</v>
      </c>
      <c r="J8" s="17" t="s">
        <v>31</v>
      </c>
    </row>
    <row r="9" spans="1:10">
      <c r="G9" s="8" t="s">
        <v>6</v>
      </c>
      <c r="H9" s="6" t="s">
        <v>25</v>
      </c>
      <c r="I9" s="20" t="e">
        <f>I8*D11^(D14-1)</f>
        <v>#DIV/0!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D7^(1/(D14-1)))</f>
        <v>1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D7^(D14-1))</f>
        <v>1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8.333333333333332E-6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18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 t="e">
        <f>IF($H$3="EVEN", D3*(1-D11)/(2*(1-D11^H4)), "")</f>
        <v>#DIV/0!</v>
      </c>
      <c r="J16" s="17" t="s">
        <v>31</v>
      </c>
    </row>
    <row r="17" spans="2:10">
      <c r="B17" s="15" t="s">
        <v>7</v>
      </c>
      <c r="C17" s="25" t="s">
        <v>13</v>
      </c>
      <c r="D17" s="27" t="e" cm="1">
        <f t="array" ref="D17">_xlfn.XLOOKUP($D$8, IF($H$3="EVEN", CHOOSE({1,2,3},H8,H16,H18), CHOOSE({1,2,3},H8,H11,H13)), IF($H$3="EVEN", CHOOSE({1,2,3},I8,I16,I18), CHOOSE({1,2,3},I8,I11,I13)))</f>
        <v>#DIV/0!</v>
      </c>
      <c r="E17" s="28" t="s">
        <v>31</v>
      </c>
      <c r="G17" s="9" t="s">
        <v>20</v>
      </c>
      <c r="H17" s="7" t="s">
        <v>23</v>
      </c>
      <c r="I17" s="21" t="e">
        <f>IF($H$3="EVEN", I16*$D$11^($H$4-1), "")</f>
        <v>#DIV/0!</v>
      </c>
      <c r="J17" s="18" t="s">
        <v>31</v>
      </c>
    </row>
    <row r="18" spans="2:10" ht="15" thickBot="1">
      <c r="B18" s="16" t="s">
        <v>6</v>
      </c>
      <c r="C18" s="26" t="s">
        <v>16</v>
      </c>
      <c r="D18" s="29" t="e" cm="1">
        <f t="array" ref="D18">_xlfn.XLOOKUP($D$8, IF($H$3="EVEN", CHOOSE({1,2,3},H9,H17,H19), CHOOSE({1,2,3},H9,H12,H14)), IF($H$3="EVEN", CHOOSE({1,2,3},I9,I17,I19), CHOOSE({1,2,3},I9,I12,I14)))</f>
        <v>#DIV/0!</v>
      </c>
      <c r="E18" s="30" t="s">
        <v>31</v>
      </c>
      <c r="G18" s="8" t="s">
        <v>18</v>
      </c>
      <c r="H18" s="6" t="s">
        <v>24</v>
      </c>
      <c r="I18" s="20" t="e">
        <f>IF($H$3="EVEN", D3*(1-D11)/(2*(1-D11^H4)), "")</f>
        <v>#DIV/0!</v>
      </c>
      <c r="J18" s="17" t="s">
        <v>31</v>
      </c>
    </row>
    <row r="19" spans="2:10">
      <c r="D19" s="54"/>
      <c r="G19" s="10" t="s">
        <v>20</v>
      </c>
      <c r="H19" s="11" t="s">
        <v>24</v>
      </c>
      <c r="I19" s="22" t="e">
        <f>IF($H$3="EVEN", I18*$D$11^($H$4-1), "")</f>
        <v>#DIV/0!</v>
      </c>
      <c r="J19" s="19" t="s">
        <v>31</v>
      </c>
    </row>
    <row r="20" spans="2:10" ht="15" thickBot="1">
      <c r="D20" s="54"/>
    </row>
    <row r="21" spans="2:10">
      <c r="D21" s="54"/>
      <c r="G21" s="35" t="s">
        <v>55</v>
      </c>
    </row>
    <row r="22" spans="2:10">
      <c r="D22" s="54"/>
      <c r="G22" s="36" t="s">
        <v>2</v>
      </c>
    </row>
    <row r="23" spans="2:10" ht="15" thickBot="1">
      <c r="D23" s="54"/>
      <c r="G23" s="37" t="s">
        <v>1</v>
      </c>
    </row>
    <row r="24" spans="2:10" ht="15" thickBot="1">
      <c r="D24" s="54"/>
    </row>
    <row r="25" spans="2:10">
      <c r="D25" s="54"/>
      <c r="G25" s="35" t="s">
        <v>56</v>
      </c>
    </row>
    <row r="26" spans="2:10">
      <c r="G26" s="36" t="s">
        <v>5</v>
      </c>
    </row>
    <row r="27" spans="2:10" ht="15" thickBot="1">
      <c r="G27" s="37" t="s">
        <v>58</v>
      </c>
    </row>
    <row r="29" spans="2:10">
      <c r="G29" s="14" t="s">
        <v>26</v>
      </c>
    </row>
    <row r="30" spans="2:10">
      <c r="G30" s="13" t="s">
        <v>25</v>
      </c>
    </row>
    <row r="31" spans="2:10">
      <c r="G31" s="4" t="s">
        <v>23</v>
      </c>
    </row>
    <row r="32" spans="2:10">
      <c r="G32" s="13" t="s">
        <v>24</v>
      </c>
    </row>
  </sheetData>
  <mergeCells count="8">
    <mergeCell ref="G15:J15"/>
    <mergeCell ref="B16:E16"/>
    <mergeCell ref="D8:E8"/>
    <mergeCell ref="D4:E4"/>
    <mergeCell ref="D6:E6"/>
    <mergeCell ref="G7:J7"/>
    <mergeCell ref="B10:E10"/>
    <mergeCell ref="G10:J10"/>
  </mergeCells>
  <dataValidations count="3">
    <dataValidation type="list" showErrorMessage="1" sqref="D4:E4" xr:uid="{8160784E-6411-40B2-A9C4-4D5563937D7B}">
      <formula1>$G$22:$G$23</formula1>
    </dataValidation>
    <dataValidation type="list" showErrorMessage="1" sqref="D6:E6" xr:uid="{A1E65076-1157-457D-9E1D-657FE372CE36}">
      <formula1>$G$26:$G$27</formula1>
    </dataValidation>
    <dataValidation type="list" showErrorMessage="1" sqref="H16:H19 H8:H9 H11:H14 D8:E8" xr:uid="{D89CC34C-5C69-4D78-9E32-70418CE6DED3}">
      <formula1>$G$30:$G$32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6E22-3D1D-42C6-83E0-8F89B1F99C56}">
  <sheetPr codeName="Sheet4">
    <tabColor rgb="FF7030A0"/>
  </sheetPr>
  <dimension ref="A1:K32"/>
  <sheetViews>
    <sheetView zoomScaleNormal="100" workbookViewId="0">
      <selection activeCell="D5" sqref="D5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80" t="str" cm="1">
        <f t="array" aca="1" ref="A1" ca="1">MID(CELL("filename",A1),FIND("]",CELL("filename",A1))+1,31)</f>
        <v>IOX</v>
      </c>
      <c r="B1" s="59" t="s">
        <v>69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  <c r="J2" s="61" t="s">
        <v>102</v>
      </c>
    </row>
    <row r="3" spans="1:10">
      <c r="B3" s="40" t="s">
        <v>0</v>
      </c>
      <c r="C3" s="41" t="s">
        <v>10</v>
      </c>
      <c r="D3" s="42">
        <v>2.5000000000000001E-3</v>
      </c>
      <c r="E3" s="43" t="s">
        <v>31</v>
      </c>
      <c r="G3" s="31" t="s">
        <v>27</v>
      </c>
      <c r="H3" s="32" t="str">
        <f>IF(ISEVEN(D14),"EVEN","ODD")</f>
        <v>EVEN</v>
      </c>
      <c r="J3" s="93">
        <f>IF(D8=G30, D14, H4)</f>
        <v>80</v>
      </c>
    </row>
    <row r="4" spans="1:10">
      <c r="B4" s="44" t="s">
        <v>63</v>
      </c>
      <c r="D4" s="125" t="s">
        <v>1</v>
      </c>
      <c r="E4" s="126"/>
      <c r="G4" s="10" t="s">
        <v>30</v>
      </c>
      <c r="H4" s="12">
        <f>IF(H3="EVEN", D14/2, (D14+1)/2)</f>
        <v>40</v>
      </c>
    </row>
    <row r="5" spans="1:10">
      <c r="B5" s="44" t="s">
        <v>64</v>
      </c>
      <c r="C5" s="4" t="str">
        <f>IF(D4=G22,"𝓁_target", "N")</f>
        <v>N</v>
      </c>
      <c r="D5" s="53">
        <f>RectX!D14</f>
        <v>80</v>
      </c>
      <c r="E5" s="45" t="str">
        <f>IF(D4=G22, "  [m]", "  [   ]")</f>
        <v xml:space="preserve">  [   ]</v>
      </c>
      <c r="G5"/>
    </row>
    <row r="6" spans="1:10">
      <c r="B6" s="44" t="s">
        <v>56</v>
      </c>
      <c r="D6" s="127" t="s">
        <v>5</v>
      </c>
      <c r="E6" s="128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1.9084489173353794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25</v>
      </c>
      <c r="E8" s="130"/>
      <c r="G8" s="8" t="s">
        <v>7</v>
      </c>
      <c r="H8" s="6" t="s">
        <v>25</v>
      </c>
      <c r="I8" s="20">
        <f>D3*(1-D11)/(1-D11^D14)</f>
        <v>2.2222222641566978E-5</v>
      </c>
      <c r="J8" s="17" t="s">
        <v>31</v>
      </c>
    </row>
    <row r="9" spans="1:10">
      <c r="G9" s="8" t="s">
        <v>6</v>
      </c>
      <c r="H9" s="6" t="s">
        <v>25</v>
      </c>
      <c r="I9" s="20">
        <f>I8*D11^(D14-1)</f>
        <v>4.2409976741084606E-5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D7^(1/(J3-1)))</f>
        <v>1.0082144515189508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D7^(J3-1))</f>
        <v>1.9084489173353794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3.1250000000000001E-5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80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>
        <f>IF($H$3="EVEN", D3*(1-D11)/(2*(1-D11^H4)), "")</f>
        <v>2.652365171377663E-5</v>
      </c>
      <c r="J16" s="17" t="s">
        <v>31</v>
      </c>
    </row>
    <row r="17" spans="2:10">
      <c r="B17" s="15" t="s">
        <v>7</v>
      </c>
      <c r="C17" s="25" t="s">
        <v>13</v>
      </c>
      <c r="D17" s="27" cm="1">
        <f t="array" ref="D17">_xlfn.XLOOKUP($D$8, IF($H$3="EVEN", CHOOSE({1,2,3},H8,H16,H18), CHOOSE({1,2,3},H8,H11,H13)), IF($H$3="EVEN", CHOOSE({1,2,3},I8,I16,I18), CHOOSE({1,2,3},I8,I11,I13)))</f>
        <v>2.2222222641566978E-5</v>
      </c>
      <c r="E17" s="28" t="s">
        <v>31</v>
      </c>
      <c r="G17" s="9" t="s">
        <v>20</v>
      </c>
      <c r="H17" s="7" t="s">
        <v>23</v>
      </c>
      <c r="I17" s="21">
        <f>IF($H$3="EVEN", I16*$D$11^($H$4-1), "")</f>
        <v>3.6491954719589362E-5</v>
      </c>
      <c r="J17" s="18" t="s">
        <v>31</v>
      </c>
    </row>
    <row r="18" spans="2:10" ht="15" thickBot="1">
      <c r="B18" s="16" t="s">
        <v>6</v>
      </c>
      <c r="C18" s="26" t="s">
        <v>16</v>
      </c>
      <c r="D18" s="29" cm="1">
        <f t="array" ref="D18">_xlfn.XLOOKUP($D$8, IF($H$3="EVEN", CHOOSE({1,2,3},H9,H17,H19), CHOOSE({1,2,3},H9,H12,H14)), IF($H$3="EVEN", CHOOSE({1,2,3},I9,I17,I19), CHOOSE({1,2,3},I9,I12,I14)))</f>
        <v>4.2409976741084606E-5</v>
      </c>
      <c r="E18" s="30" t="s">
        <v>31</v>
      </c>
      <c r="G18" s="8" t="s">
        <v>18</v>
      </c>
      <c r="H18" s="6" t="s">
        <v>24</v>
      </c>
      <c r="I18" s="20">
        <f>IF($H$3="EVEN", D3*(1-D11)/(2*(1-D11^H4)), "")</f>
        <v>2.652365171377663E-5</v>
      </c>
      <c r="J18" s="17" t="s">
        <v>31</v>
      </c>
    </row>
    <row r="19" spans="2:10">
      <c r="D19" s="54"/>
      <c r="G19" s="10" t="s">
        <v>20</v>
      </c>
      <c r="H19" s="11" t="s">
        <v>24</v>
      </c>
      <c r="I19" s="22">
        <f>IF($H$3="EVEN", I18*$D$11^($H$4-1), "")</f>
        <v>3.6491954719589362E-5</v>
      </c>
      <c r="J19" s="19" t="s">
        <v>31</v>
      </c>
    </row>
    <row r="20" spans="2:10" ht="15" thickBot="1">
      <c r="B20" s="124" t="s">
        <v>72</v>
      </c>
      <c r="C20" s="124"/>
      <c r="D20" s="124"/>
      <c r="E20" s="124"/>
    </row>
    <row r="21" spans="2:10">
      <c r="B21" s="15" t="s">
        <v>76</v>
      </c>
      <c r="C21" s="25" t="s">
        <v>73</v>
      </c>
      <c r="D21" s="27">
        <v>2.222222222222222E-5</v>
      </c>
      <c r="E21" s="28" t="s">
        <v>31</v>
      </c>
      <c r="G21" s="35" t="s">
        <v>55</v>
      </c>
    </row>
    <row r="22" spans="2:10" ht="15" thickBot="1">
      <c r="B22" s="16" t="s">
        <v>74</v>
      </c>
      <c r="C22" s="26" t="s">
        <v>16</v>
      </c>
      <c r="D22" s="29">
        <f>ABS(D21-D17)</f>
        <v>4.1934475843489159E-13</v>
      </c>
      <c r="E22" s="30" t="s">
        <v>31</v>
      </c>
      <c r="G22" s="36" t="s">
        <v>2</v>
      </c>
    </row>
    <row r="23" spans="2:10" ht="15" thickBot="1">
      <c r="D23" s="54"/>
      <c r="G23" s="37" t="s">
        <v>1</v>
      </c>
    </row>
    <row r="24" spans="2:10" ht="15" thickBot="1">
      <c r="D24" s="54"/>
    </row>
    <row r="25" spans="2:10">
      <c r="D25" s="54"/>
      <c r="G25" s="35" t="s">
        <v>56</v>
      </c>
    </row>
    <row r="26" spans="2:10">
      <c r="D26" s="54"/>
      <c r="G26" s="36" t="s">
        <v>5</v>
      </c>
    </row>
    <row r="27" spans="2:10" ht="15" thickBot="1">
      <c r="G27" s="37" t="s">
        <v>58</v>
      </c>
    </row>
    <row r="29" spans="2:10">
      <c r="G29" s="14" t="s">
        <v>26</v>
      </c>
    </row>
    <row r="30" spans="2:10">
      <c r="G30" s="13" t="s">
        <v>25</v>
      </c>
    </row>
    <row r="31" spans="2:10">
      <c r="G31" s="4" t="s">
        <v>23</v>
      </c>
    </row>
    <row r="32" spans="2:10">
      <c r="G32" s="13" t="s">
        <v>24</v>
      </c>
    </row>
  </sheetData>
  <mergeCells count="9">
    <mergeCell ref="G15:J15"/>
    <mergeCell ref="B16:E16"/>
    <mergeCell ref="D8:E8"/>
    <mergeCell ref="B20:E20"/>
    <mergeCell ref="D4:E4"/>
    <mergeCell ref="D6:E6"/>
    <mergeCell ref="G7:J7"/>
    <mergeCell ref="B10:E10"/>
    <mergeCell ref="G10:J10"/>
  </mergeCells>
  <dataValidations count="3">
    <dataValidation type="list" showErrorMessage="1" sqref="D4:E4" xr:uid="{0D666EB3-CDF4-4CC1-AC40-21BD39BCF0A5}">
      <formula1>$G$22:$G$23</formula1>
    </dataValidation>
    <dataValidation type="list" showErrorMessage="1" sqref="D6:E6" xr:uid="{AAECA0C8-A710-44AE-AC9F-EE78E5AE8E9A}">
      <formula1>$G$26:$G$27</formula1>
    </dataValidation>
    <dataValidation type="list" showErrorMessage="1" sqref="H16:H19 H8:H9 H11:H14 D8:E8" xr:uid="{6603BB01-5F83-4ECE-9DF6-BC99C1076529}">
      <formula1>$G$30:$G$32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B816-6F05-4417-9ECD-857A0F01D336}">
  <sheetPr codeName="Sheet6">
    <tabColor rgb="FF7030A0"/>
  </sheetPr>
  <dimension ref="A1:K32"/>
  <sheetViews>
    <sheetView zoomScaleNormal="100" workbookViewId="0">
      <selection activeCell="D5" sqref="D5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80" t="str" cm="1">
        <f t="array" aca="1" ref="A1" ca="1">MID(CELL("filename",A1),FIND("]",CELL("filename",A1))+1,31)</f>
        <v>ExpSpl</v>
      </c>
      <c r="B1" s="59" t="s">
        <v>71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  <c r="J2" s="61" t="s">
        <v>102</v>
      </c>
    </row>
    <row r="3" spans="1:10">
      <c r="B3" s="40" t="s">
        <v>0</v>
      </c>
      <c r="C3" s="41" t="s">
        <v>10</v>
      </c>
      <c r="D3" s="42">
        <f>'Creo Input'!E2</f>
        <v>1.8886881256233001E-2</v>
      </c>
      <c r="E3" s="43" t="s">
        <v>31</v>
      </c>
      <c r="G3" s="31" t="s">
        <v>27</v>
      </c>
      <c r="H3" s="32" t="str">
        <f>IF(ISEVEN(D14),"EVEN","ODD")</f>
        <v>EVEN</v>
      </c>
      <c r="J3" s="93">
        <f>IF(D8=G30, D14, H4)</f>
        <v>80</v>
      </c>
    </row>
    <row r="4" spans="1:10">
      <c r="B4" s="44" t="s">
        <v>63</v>
      </c>
      <c r="D4" s="125" t="s">
        <v>1</v>
      </c>
      <c r="E4" s="126"/>
      <c r="G4" s="10" t="s">
        <v>30</v>
      </c>
      <c r="H4" s="12">
        <f>IF(H3="EVEN", D14/2, (D14+1)/2)</f>
        <v>40</v>
      </c>
    </row>
    <row r="5" spans="1:10">
      <c r="B5" s="44" t="s">
        <v>64</v>
      </c>
      <c r="C5" s="4" t="str">
        <f>IF(D4=G22,"𝓁_target", "N")</f>
        <v>N</v>
      </c>
      <c r="D5" s="53">
        <v>80</v>
      </c>
      <c r="E5" s="45" t="str">
        <f>IF(D4=G22, "  [m]", "  [   ]")</f>
        <v xml:space="preserve">  [   ]</v>
      </c>
      <c r="G5"/>
    </row>
    <row r="6" spans="1:10">
      <c r="B6" s="44" t="s">
        <v>56</v>
      </c>
      <c r="D6" s="127" t="s">
        <v>5</v>
      </c>
      <c r="E6" s="128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1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25</v>
      </c>
      <c r="E8" s="130"/>
      <c r="G8" s="8" t="s">
        <v>7</v>
      </c>
      <c r="H8" s="6" t="s">
        <v>25</v>
      </c>
      <c r="I8" s="20" t="e">
        <f>D3*(1-D11)/(1-D11^D14)</f>
        <v>#DIV/0!</v>
      </c>
      <c r="J8" s="17" t="s">
        <v>31</v>
      </c>
    </row>
    <row r="9" spans="1:10">
      <c r="G9" s="8" t="s">
        <v>6</v>
      </c>
      <c r="H9" s="6" t="s">
        <v>25</v>
      </c>
      <c r="I9" s="20" t="e">
        <f>I8*D11^(D14-1)</f>
        <v>#DIV/0!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D7^(1/(J3-1)))</f>
        <v>1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D7^(J3-1))</f>
        <v>1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2.3608601570291251E-4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80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 t="e">
        <f>IF($H$3="EVEN", D3*(1-D11)/(2*(1-D11^H4)), "")</f>
        <v>#DIV/0!</v>
      </c>
      <c r="J16" s="17" t="s">
        <v>31</v>
      </c>
    </row>
    <row r="17" spans="2:10">
      <c r="B17" s="15" t="s">
        <v>7</v>
      </c>
      <c r="C17" s="25" t="s">
        <v>13</v>
      </c>
      <c r="D17" s="27" t="e" cm="1">
        <f t="array" ref="D17">_xlfn.XLOOKUP($D$8, IF($H$3="EVEN", CHOOSE({1,2,3},H8,H16,H18), CHOOSE({1,2,3},H8,H11,H13)), IF($H$3="EVEN", CHOOSE({1,2,3},I8,I16,I18), CHOOSE({1,2,3},I8,I11,I13)))</f>
        <v>#DIV/0!</v>
      </c>
      <c r="E17" s="28" t="s">
        <v>31</v>
      </c>
      <c r="G17" s="9" t="s">
        <v>20</v>
      </c>
      <c r="H17" s="7" t="s">
        <v>23</v>
      </c>
      <c r="I17" s="21" t="e">
        <f>IF($H$3="EVEN", I16*$D$11^($H$4-1), "")</f>
        <v>#DIV/0!</v>
      </c>
      <c r="J17" s="18" t="s">
        <v>31</v>
      </c>
    </row>
    <row r="18" spans="2:10" ht="15" thickBot="1">
      <c r="B18" s="16" t="s">
        <v>6</v>
      </c>
      <c r="C18" s="26" t="s">
        <v>16</v>
      </c>
      <c r="D18" s="29" t="e" cm="1">
        <f t="array" ref="D18">_xlfn.XLOOKUP($D$8, IF($H$3="EVEN", CHOOSE({1,2,3},H9,H17,H19), CHOOSE({1,2,3},H9,H12,H14)), IF($H$3="EVEN", CHOOSE({1,2,3},I9,I17,I19), CHOOSE({1,2,3},I9,I12,I14)))</f>
        <v>#DIV/0!</v>
      </c>
      <c r="E18" s="30" t="s">
        <v>31</v>
      </c>
      <c r="G18" s="8" t="s">
        <v>18</v>
      </c>
      <c r="H18" s="6" t="s">
        <v>24</v>
      </c>
      <c r="I18" s="20" t="e">
        <f>IF($H$3="EVEN", D3*(1-D11)/(2*(1-D11^H4)), "")</f>
        <v>#DIV/0!</v>
      </c>
      <c r="J18" s="17" t="s">
        <v>31</v>
      </c>
    </row>
    <row r="19" spans="2:10">
      <c r="D19" s="54"/>
      <c r="G19" s="10" t="s">
        <v>20</v>
      </c>
      <c r="H19" s="11" t="s">
        <v>24</v>
      </c>
      <c r="I19" s="22" t="e">
        <f>IF($H$3="EVEN", I18*$D$11^($H$4-1), "")</f>
        <v>#DIV/0!</v>
      </c>
      <c r="J19" s="19" t="s">
        <v>31</v>
      </c>
    </row>
    <row r="20" spans="2:10" ht="15" thickBot="1">
      <c r="B20" s="124" t="s">
        <v>72</v>
      </c>
      <c r="C20" s="124"/>
      <c r="D20" s="124"/>
      <c r="E20" s="124"/>
    </row>
    <row r="21" spans="2:10">
      <c r="B21" s="15" t="s">
        <v>77</v>
      </c>
      <c r="C21" s="25" t="s">
        <v>73</v>
      </c>
      <c r="D21" s="27">
        <f>RectY!D17</f>
        <v>2.010168855543449E-4</v>
      </c>
      <c r="E21" s="28" t="s">
        <v>31</v>
      </c>
      <c r="G21" s="35" t="s">
        <v>55</v>
      </c>
    </row>
    <row r="22" spans="2:10" ht="15" thickBot="1">
      <c r="B22" s="16" t="s">
        <v>74</v>
      </c>
      <c r="C22" s="26" t="s">
        <v>16</v>
      </c>
      <c r="D22" s="29" t="e">
        <f>ABS(D21-D18)</f>
        <v>#DIV/0!</v>
      </c>
      <c r="E22" s="30" t="s">
        <v>31</v>
      </c>
      <c r="G22" s="36" t="s">
        <v>2</v>
      </c>
    </row>
    <row r="23" spans="2:10" ht="15" thickBot="1">
      <c r="D23" s="54"/>
      <c r="G23" s="37" t="s">
        <v>1</v>
      </c>
    </row>
    <row r="24" spans="2:10" ht="15" thickBot="1">
      <c r="D24" s="54"/>
    </row>
    <row r="25" spans="2:10">
      <c r="D25" s="54"/>
      <c r="G25" s="35" t="s">
        <v>56</v>
      </c>
    </row>
    <row r="26" spans="2:10">
      <c r="D26" s="54"/>
      <c r="G26" s="36" t="s">
        <v>5</v>
      </c>
    </row>
    <row r="27" spans="2:10" ht="15" thickBot="1">
      <c r="G27" s="37" t="s">
        <v>58</v>
      </c>
    </row>
    <row r="29" spans="2:10">
      <c r="G29" s="14" t="s">
        <v>26</v>
      </c>
    </row>
    <row r="30" spans="2:10">
      <c r="G30" s="13" t="s">
        <v>25</v>
      </c>
    </row>
    <row r="31" spans="2:10">
      <c r="G31" s="4" t="s">
        <v>23</v>
      </c>
    </row>
    <row r="32" spans="2:10">
      <c r="G32" s="13" t="s">
        <v>24</v>
      </c>
    </row>
  </sheetData>
  <mergeCells count="9">
    <mergeCell ref="G15:J15"/>
    <mergeCell ref="B16:E16"/>
    <mergeCell ref="D8:E8"/>
    <mergeCell ref="B20:E20"/>
    <mergeCell ref="D4:E4"/>
    <mergeCell ref="D6:E6"/>
    <mergeCell ref="G7:J7"/>
    <mergeCell ref="B10:E10"/>
    <mergeCell ref="G10:J10"/>
  </mergeCells>
  <dataValidations count="3">
    <dataValidation type="list" showErrorMessage="1" sqref="D4:E4" xr:uid="{B66983B8-8B41-4F88-A91C-17E40AF88172}">
      <formula1>$G$22:$G$23</formula1>
    </dataValidation>
    <dataValidation type="list" showErrorMessage="1" sqref="D6:E6" xr:uid="{F8E649F3-F550-4818-9CD8-79D8ED0D81B7}">
      <formula1>$G$26:$G$27</formula1>
    </dataValidation>
    <dataValidation type="list" showErrorMessage="1" sqref="H16:H19 H8:H9 H11:H14 D8:E8" xr:uid="{CFBE7F9C-28E0-46B5-AFF7-4C3369579FB2}">
      <formula1>$G$30:$G$32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6743-6017-491E-A3C1-C764F479CC4B}">
  <sheetPr codeName="Sheet5">
    <tabColor rgb="FF7030A0"/>
  </sheetPr>
  <dimension ref="A1:K32"/>
  <sheetViews>
    <sheetView zoomScaleNormal="100" workbookViewId="0">
      <selection activeCell="D5" sqref="D5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80" t="str" cm="1">
        <f t="array" aca="1" ref="A1" ca="1">MID(CELL("filename",A1),FIND("]",CELL("filename",A1))+1,31)</f>
        <v>ExpY</v>
      </c>
      <c r="B1" s="59" t="s">
        <v>68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  <c r="J2" s="61" t="s">
        <v>102</v>
      </c>
    </row>
    <row r="3" spans="1:10">
      <c r="B3" s="40" t="s">
        <v>0</v>
      </c>
      <c r="C3" s="41" t="s">
        <v>10</v>
      </c>
      <c r="D3" s="42">
        <f>'Creo Input'!E3</f>
        <v>1.0000937458632101E-2</v>
      </c>
      <c r="E3" s="43" t="s">
        <v>31</v>
      </c>
      <c r="G3" s="31" t="s">
        <v>27</v>
      </c>
      <c r="H3" s="32" t="str">
        <f>IF(ISEVEN(D14),"EVEN","ODD")</f>
        <v>EVEN</v>
      </c>
      <c r="J3" s="93">
        <f>IF(D8=G30, D14, H4)</f>
        <v>80</v>
      </c>
    </row>
    <row r="4" spans="1:10">
      <c r="B4" s="44" t="s">
        <v>63</v>
      </c>
      <c r="D4" s="125" t="s">
        <v>1</v>
      </c>
      <c r="E4" s="126"/>
      <c r="G4" s="10" t="s">
        <v>30</v>
      </c>
      <c r="H4" s="12">
        <f>IF(H3="EVEN", D14/2, (D14+1)/2)</f>
        <v>40</v>
      </c>
    </row>
    <row r="5" spans="1:10">
      <c r="B5" s="44" t="s">
        <v>64</v>
      </c>
      <c r="C5" s="4" t="str">
        <f>IF(D4=G22,"𝓁_target", "N")</f>
        <v>N</v>
      </c>
      <c r="D5" s="53">
        <f>ExpSpl!D14</f>
        <v>80</v>
      </c>
      <c r="E5" s="45" t="str">
        <f>IF(D4=G22, "  [m]", "  [   ]")</f>
        <v xml:space="preserve">  [   ]</v>
      </c>
      <c r="G5"/>
    </row>
    <row r="6" spans="1:10">
      <c r="B6" s="44" t="s">
        <v>56</v>
      </c>
      <c r="D6" s="127" t="s">
        <v>5</v>
      </c>
      <c r="E6" s="128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1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25</v>
      </c>
      <c r="E8" s="130"/>
      <c r="G8" s="8" t="s">
        <v>7</v>
      </c>
      <c r="H8" s="6" t="s">
        <v>25</v>
      </c>
      <c r="I8" s="20" t="e">
        <f>D3*(1-D11)/(1-D11^D14)</f>
        <v>#DIV/0!</v>
      </c>
      <c r="J8" s="17" t="s">
        <v>31</v>
      </c>
    </row>
    <row r="9" spans="1:10">
      <c r="G9" s="8" t="s">
        <v>6</v>
      </c>
      <c r="H9" s="6" t="s">
        <v>25</v>
      </c>
      <c r="I9" s="20" t="e">
        <f>I8*D11^(D14-1)</f>
        <v>#DIV/0!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D7^(1/(J3-1)))</f>
        <v>1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D7^(J3-1))</f>
        <v>1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1.2501171823290125E-4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80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 t="e">
        <f>IF($H$3="EVEN", D3*(1-D11)/(2*(1-D11^H4)), "")</f>
        <v>#DIV/0!</v>
      </c>
      <c r="J16" s="17" t="s">
        <v>31</v>
      </c>
    </row>
    <row r="17" spans="2:10">
      <c r="B17" s="15" t="s">
        <v>7</v>
      </c>
      <c r="C17" s="25" t="s">
        <v>13</v>
      </c>
      <c r="D17" s="27" t="e" cm="1">
        <f t="array" ref="D17">_xlfn.XLOOKUP($D$8, IF($H$3="EVEN", CHOOSE({1,2,3},H8,H16,H18), CHOOSE({1,2,3},H8,H11,H13)), IF($H$3="EVEN", CHOOSE({1,2,3},I8,I16,I18), CHOOSE({1,2,3},I8,I11,I13)))</f>
        <v>#DIV/0!</v>
      </c>
      <c r="E17" s="28" t="s">
        <v>31</v>
      </c>
      <c r="G17" s="9" t="s">
        <v>20</v>
      </c>
      <c r="H17" s="7" t="s">
        <v>23</v>
      </c>
      <c r="I17" s="21" t="e">
        <f>IF($H$3="EVEN", I16*$D$11^($H$4-1), "")</f>
        <v>#DIV/0!</v>
      </c>
      <c r="J17" s="18" t="s">
        <v>31</v>
      </c>
    </row>
    <row r="18" spans="2:10" ht="15" thickBot="1">
      <c r="B18" s="16" t="s">
        <v>6</v>
      </c>
      <c r="C18" s="26" t="s">
        <v>16</v>
      </c>
      <c r="D18" s="29" t="e" cm="1">
        <f t="array" ref="D18">_xlfn.XLOOKUP($D$8, IF($H$3="EVEN", CHOOSE({1,2,3},H9,H17,H19), CHOOSE({1,2,3},H9,H12,H14)), IF($H$3="EVEN", CHOOSE({1,2,3},I9,I17,I19), CHOOSE({1,2,3},I9,I12,I14)))</f>
        <v>#DIV/0!</v>
      </c>
      <c r="E18" s="30" t="s">
        <v>31</v>
      </c>
      <c r="G18" s="8" t="s">
        <v>18</v>
      </c>
      <c r="H18" s="6" t="s">
        <v>24</v>
      </c>
      <c r="I18" s="20" t="e">
        <f>IF($H$3="EVEN", D3*(1-D11)/(2*(1-D11^H4)), "")</f>
        <v>#DIV/0!</v>
      </c>
      <c r="J18" s="17" t="s">
        <v>31</v>
      </c>
    </row>
    <row r="19" spans="2:10">
      <c r="D19" s="54"/>
      <c r="G19" s="10" t="s">
        <v>20</v>
      </c>
      <c r="H19" s="11" t="s">
        <v>24</v>
      </c>
      <c r="I19" s="22" t="e">
        <f>IF($H$3="EVEN", I18*$D$11^($H$4-1), "")</f>
        <v>#DIV/0!</v>
      </c>
      <c r="J19" s="19" t="s">
        <v>31</v>
      </c>
    </row>
    <row r="20" spans="2:10" ht="15" thickBot="1">
      <c r="B20" s="124" t="s">
        <v>72</v>
      </c>
      <c r="C20" s="124"/>
      <c r="D20" s="124"/>
      <c r="E20" s="124"/>
    </row>
    <row r="21" spans="2:10">
      <c r="B21" s="15" t="s">
        <v>77</v>
      </c>
      <c r="C21" s="25" t="s">
        <v>73</v>
      </c>
      <c r="D21" s="27">
        <f>RectY!D17</f>
        <v>2.010168855543449E-4</v>
      </c>
      <c r="E21" s="28" t="s">
        <v>31</v>
      </c>
      <c r="G21" s="35" t="s">
        <v>55</v>
      </c>
    </row>
    <row r="22" spans="2:10" ht="15" thickBot="1">
      <c r="B22" s="16" t="s">
        <v>74</v>
      </c>
      <c r="C22" s="26" t="s">
        <v>16</v>
      </c>
      <c r="D22" s="29" t="e">
        <f>ABS(D21-D18)</f>
        <v>#DIV/0!</v>
      </c>
      <c r="E22" s="30" t="s">
        <v>31</v>
      </c>
      <c r="G22" s="36" t="s">
        <v>2</v>
      </c>
    </row>
    <row r="23" spans="2:10" ht="15" thickBot="1">
      <c r="D23" s="54"/>
      <c r="G23" s="37" t="s">
        <v>1</v>
      </c>
    </row>
    <row r="24" spans="2:10" ht="15" thickBot="1">
      <c r="D24" s="54"/>
    </row>
    <row r="25" spans="2:10">
      <c r="D25" s="54"/>
      <c r="G25" s="35" t="s">
        <v>56</v>
      </c>
    </row>
    <row r="26" spans="2:10">
      <c r="D26" s="54"/>
      <c r="G26" s="36" t="s">
        <v>5</v>
      </c>
    </row>
    <row r="27" spans="2:10" ht="15" thickBot="1">
      <c r="G27" s="37" t="s">
        <v>58</v>
      </c>
    </row>
    <row r="29" spans="2:10">
      <c r="G29" s="14" t="s">
        <v>26</v>
      </c>
    </row>
    <row r="30" spans="2:10">
      <c r="G30" s="13" t="s">
        <v>25</v>
      </c>
    </row>
    <row r="31" spans="2:10">
      <c r="G31" s="4" t="s">
        <v>23</v>
      </c>
    </row>
    <row r="32" spans="2:10">
      <c r="G32" s="13" t="s">
        <v>24</v>
      </c>
    </row>
  </sheetData>
  <mergeCells count="9">
    <mergeCell ref="B20:E20"/>
    <mergeCell ref="G15:J15"/>
    <mergeCell ref="B16:E16"/>
    <mergeCell ref="D8:E8"/>
    <mergeCell ref="D4:E4"/>
    <mergeCell ref="D6:E6"/>
    <mergeCell ref="G7:J7"/>
    <mergeCell ref="B10:E10"/>
    <mergeCell ref="G10:J10"/>
  </mergeCells>
  <dataValidations count="3">
    <dataValidation type="list" showErrorMessage="1" sqref="H16:H19 H8:H9 H11:H14 D8:E8" xr:uid="{EF517833-A327-4016-B78E-D661B8337E1C}">
      <formula1>$G$30:$G$32</formula1>
    </dataValidation>
    <dataValidation type="list" showErrorMessage="1" sqref="D6:E6" xr:uid="{B0991C24-F682-46FC-8F0D-5F8FD32CF63D}">
      <formula1>$G$26:$G$27</formula1>
    </dataValidation>
    <dataValidation type="list" showErrorMessage="1" sqref="D4:E4" xr:uid="{6FE73E75-9D51-408E-B22D-4917E6F8C405}">
      <formula1>$G$22:$G$23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94F1-4CCC-4A5C-B225-BB624764CFEE}">
  <sheetPr codeName="Sheet7">
    <tabColor rgb="FF7030A0"/>
  </sheetPr>
  <dimension ref="A1:K32"/>
  <sheetViews>
    <sheetView zoomScaleNormal="100" workbookViewId="0">
      <selection activeCell="D8" sqref="D8:E8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80"/>
      <c r="B1" s="59" t="s">
        <v>70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</row>
    <row r="3" spans="1:10">
      <c r="B3" s="40" t="s">
        <v>0</v>
      </c>
      <c r="C3" s="41" t="s">
        <v>10</v>
      </c>
      <c r="D3" s="42">
        <v>4.0000000000000002E-4</v>
      </c>
      <c r="E3" s="43" t="s">
        <v>31</v>
      </c>
      <c r="G3" s="31" t="s">
        <v>27</v>
      </c>
      <c r="H3" s="32" t="str">
        <f>IF(ISEVEN(D14),"EVEN","ODD")</f>
        <v>EVEN</v>
      </c>
    </row>
    <row r="4" spans="1:10">
      <c r="B4" s="44" t="s">
        <v>63</v>
      </c>
      <c r="D4" s="125" t="s">
        <v>1</v>
      </c>
      <c r="E4" s="126"/>
      <c r="G4" s="10" t="s">
        <v>30</v>
      </c>
      <c r="H4" s="12">
        <f>IF(H3="EVEN", D14/2, (D14+1)/2)</f>
        <v>9</v>
      </c>
    </row>
    <row r="5" spans="1:10">
      <c r="B5" s="44" t="s">
        <v>64</v>
      </c>
      <c r="C5" s="4" t="str">
        <f>IF(D4=G22,"𝓁_target", "N")</f>
        <v>N</v>
      </c>
      <c r="D5" s="53">
        <v>18</v>
      </c>
      <c r="E5" s="45" t="str">
        <f>IF(D4=G22, "  [m]", "  [   ]")</f>
        <v xml:space="preserve">  [   ]</v>
      </c>
      <c r="G5"/>
    </row>
    <row r="6" spans="1:10">
      <c r="B6" s="44" t="s">
        <v>56</v>
      </c>
      <c r="D6" s="127" t="s">
        <v>5</v>
      </c>
      <c r="E6" s="128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1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24</v>
      </c>
      <c r="E8" s="130"/>
      <c r="G8" s="8" t="s">
        <v>7</v>
      </c>
      <c r="H8" s="6" t="s">
        <v>25</v>
      </c>
      <c r="I8" s="20" t="e">
        <f>D3*(1-D11)/(1-D11^D14)</f>
        <v>#DIV/0!</v>
      </c>
      <c r="J8" s="17" t="s">
        <v>31</v>
      </c>
    </row>
    <row r="9" spans="1:10">
      <c r="G9" s="8" t="s">
        <v>6</v>
      </c>
      <c r="H9" s="6" t="s">
        <v>25</v>
      </c>
      <c r="I9" s="20" t="e">
        <f>I8*D11^(D14-1)</f>
        <v>#DIV/0!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D7^(1/(D14-1)))</f>
        <v>1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D7^(D14-1))</f>
        <v>1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2.2222222222222223E-5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18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>
      <c r="D16" s="54"/>
      <c r="G16" s="8" t="s">
        <v>18</v>
      </c>
      <c r="H16" s="6" t="s">
        <v>23</v>
      </c>
      <c r="I16" s="20" t="e">
        <f>IF($H$3="EVEN", D3*(1-D11)/(2*(1-D11^H4)), "")</f>
        <v>#DIV/0!</v>
      </c>
      <c r="J16" s="17" t="s">
        <v>31</v>
      </c>
    </row>
    <row r="17" spans="4:10">
      <c r="D17" s="54"/>
      <c r="G17" s="9" t="s">
        <v>20</v>
      </c>
      <c r="H17" s="7" t="s">
        <v>23</v>
      </c>
      <c r="I17" s="21" t="e">
        <f>IF($H$3="EVEN", I16*$D$11^($H$4-1), "")</f>
        <v>#DIV/0!</v>
      </c>
      <c r="J17" s="18" t="s">
        <v>31</v>
      </c>
    </row>
    <row r="18" spans="4:10">
      <c r="D18" s="54"/>
      <c r="G18" s="8" t="s">
        <v>18</v>
      </c>
      <c r="H18" s="6" t="s">
        <v>24</v>
      </c>
      <c r="I18" s="20" t="e">
        <f>IF($H$3="EVEN", D3*(1-D11)/(2*(1-D11^H4)), "")</f>
        <v>#DIV/0!</v>
      </c>
      <c r="J18" s="17" t="s">
        <v>31</v>
      </c>
    </row>
    <row r="19" spans="4:10">
      <c r="D19" s="54"/>
      <c r="G19" s="10" t="s">
        <v>20</v>
      </c>
      <c r="H19" s="11" t="s">
        <v>24</v>
      </c>
      <c r="I19" s="22" t="e">
        <f>IF($H$3="EVEN", I18*$D$11^($H$4-1), "")</f>
        <v>#DIV/0!</v>
      </c>
      <c r="J19" s="19" t="s">
        <v>31</v>
      </c>
    </row>
    <row r="20" spans="4:10" ht="15" thickBot="1">
      <c r="D20" s="54"/>
    </row>
    <row r="21" spans="4:10">
      <c r="D21" s="54"/>
      <c r="G21" s="35" t="s">
        <v>55</v>
      </c>
    </row>
    <row r="22" spans="4:10">
      <c r="D22" s="54"/>
      <c r="G22" s="36" t="s">
        <v>2</v>
      </c>
    </row>
    <row r="23" spans="4:10" ht="15" thickBot="1">
      <c r="D23" s="54"/>
      <c r="G23" s="37" t="s">
        <v>1</v>
      </c>
    </row>
    <row r="24" spans="4:10" ht="15" thickBot="1">
      <c r="D24" s="54"/>
    </row>
    <row r="25" spans="4:10">
      <c r="D25" s="54"/>
      <c r="G25" s="35" t="s">
        <v>56</v>
      </c>
    </row>
    <row r="26" spans="4:10">
      <c r="D26" s="54"/>
      <c r="G26" s="36" t="s">
        <v>5</v>
      </c>
    </row>
    <row r="27" spans="4:10" ht="15" thickBot="1">
      <c r="G27" s="37" t="s">
        <v>58</v>
      </c>
    </row>
    <row r="29" spans="4:10">
      <c r="G29" s="14" t="s">
        <v>26</v>
      </c>
    </row>
    <row r="30" spans="4:10">
      <c r="G30" s="13" t="s">
        <v>25</v>
      </c>
    </row>
    <row r="31" spans="4:10">
      <c r="G31" s="4" t="s">
        <v>23</v>
      </c>
    </row>
    <row r="32" spans="4:10">
      <c r="G32" s="13" t="s">
        <v>24</v>
      </c>
    </row>
  </sheetData>
  <mergeCells count="7">
    <mergeCell ref="G15:J15"/>
    <mergeCell ref="D8:E8"/>
    <mergeCell ref="D4:E4"/>
    <mergeCell ref="D6:E6"/>
    <mergeCell ref="G7:J7"/>
    <mergeCell ref="B10:E10"/>
    <mergeCell ref="G10:J10"/>
  </mergeCells>
  <dataValidations count="3">
    <dataValidation type="list" showErrorMessage="1" sqref="H16:H19 H8:H9 H11:H14 D8:E8" xr:uid="{3ED0BBF3-61F5-4AAE-A733-42A6E4BE57BD}">
      <formula1>$G$30:$G$32</formula1>
    </dataValidation>
    <dataValidation type="list" showErrorMessage="1" sqref="D6:E6" xr:uid="{E75D4708-9963-4BD4-A3BB-0CAB1CFF5DC7}">
      <formula1>$G$26:$G$27</formula1>
    </dataValidation>
    <dataValidation type="list" showErrorMessage="1" sqref="D4:E4" xr:uid="{46CA7037-6C96-4CE2-8059-7CAF85242B58}">
      <formula1>$G$22:$G$23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7D7F-09D7-4659-BFA5-09D3932E5109}">
  <sheetPr codeName="Sheet8">
    <tabColor theme="5"/>
  </sheetPr>
  <dimension ref="A1:K32"/>
  <sheetViews>
    <sheetView zoomScaleNormal="100" workbookViewId="0">
      <selection activeCell="D5" sqref="D5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95" t="str" cm="1">
        <f t="array" aca="1" ref="A1" ca="1">MID(CELL("filename",A1),FIND("]",CELL("filename",A1))+1,31)</f>
        <v>ExpSpl1</v>
      </c>
      <c r="B1" s="59" t="s">
        <v>91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  <c r="J2" s="61" t="s">
        <v>102</v>
      </c>
    </row>
    <row r="3" spans="1:10">
      <c r="B3" s="40" t="s">
        <v>0</v>
      </c>
      <c r="C3" s="41" t="s">
        <v>10</v>
      </c>
      <c r="D3" s="42">
        <f>'Creo Input'!E8</f>
        <v>5.9021328552024905E-3</v>
      </c>
      <c r="E3" s="43" t="s">
        <v>31</v>
      </c>
      <c r="G3" s="31" t="s">
        <v>27</v>
      </c>
      <c r="H3" s="32" t="str">
        <f>IF(ISEVEN(D14),"EVEN","ODD")</f>
        <v>EVEN</v>
      </c>
      <c r="J3" s="93">
        <f>IF(D8=G30, D14, H4)</f>
        <v>30</v>
      </c>
    </row>
    <row r="4" spans="1:10">
      <c r="B4" s="44" t="s">
        <v>63</v>
      </c>
      <c r="D4" s="125" t="s">
        <v>2</v>
      </c>
      <c r="E4" s="126"/>
      <c r="G4" s="10" t="s">
        <v>30</v>
      </c>
      <c r="H4" s="12">
        <f>IF(H3="EVEN", D14/2, (D14+1)/2)</f>
        <v>15</v>
      </c>
    </row>
    <row r="5" spans="1:10">
      <c r="B5" s="44" t="s">
        <v>64</v>
      </c>
      <c r="C5" s="4" t="str">
        <f>IF(D4=G22,"𝓁_target", "N")</f>
        <v>𝓁_target</v>
      </c>
      <c r="D5" s="53">
        <f>RectY!D17</f>
        <v>2.010168855543449E-4</v>
      </c>
      <c r="E5" s="45" t="str">
        <f>IF(D4=G22, "  [m]", "  [   ]")</f>
        <v xml:space="preserve">  [m]</v>
      </c>
      <c r="G5"/>
    </row>
    <row r="6" spans="1:10">
      <c r="B6" s="44" t="s">
        <v>56</v>
      </c>
      <c r="D6" s="127" t="s">
        <v>5</v>
      </c>
      <c r="E6" s="128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1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25</v>
      </c>
      <c r="E8" s="130"/>
      <c r="G8" s="8" t="s">
        <v>7</v>
      </c>
      <c r="H8" s="6" t="s">
        <v>25</v>
      </c>
      <c r="I8" s="20" t="e">
        <f>D3*(1-D11)/(1-D11^D14)</f>
        <v>#DIV/0!</v>
      </c>
      <c r="J8" s="17" t="s">
        <v>31</v>
      </c>
    </row>
    <row r="9" spans="1:10">
      <c r="G9" s="8" t="s">
        <v>6</v>
      </c>
      <c r="H9" s="6" t="s">
        <v>25</v>
      </c>
      <c r="I9" s="20" t="e">
        <f>I8*D11^(D14-1)</f>
        <v>#DIV/0!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D7^(1/(J3-1)))</f>
        <v>1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D7^(J3-1))</f>
        <v>1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2.010168855543449E-4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30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 t="e">
        <f>IF($H$3="EVEN", D3*(1-D11)/(2*(1-D11^H4)), "")</f>
        <v>#DIV/0!</v>
      </c>
      <c r="J16" s="17" t="s">
        <v>31</v>
      </c>
    </row>
    <row r="17" spans="2:10">
      <c r="B17" s="15" t="s">
        <v>7</v>
      </c>
      <c r="C17" s="25" t="s">
        <v>13</v>
      </c>
      <c r="D17" s="27" t="e" cm="1">
        <f t="array" ref="D17">_xlfn.XLOOKUP($D$8, IF($H$3="EVEN", CHOOSE({1,2,3},H8,H16,H18), CHOOSE({1,2,3},H8,H11,H13)), IF($H$3="EVEN", CHOOSE({1,2,3},I8,I16,I18), CHOOSE({1,2,3},I8,I11,I13)))</f>
        <v>#DIV/0!</v>
      </c>
      <c r="E17" s="28" t="s">
        <v>31</v>
      </c>
      <c r="G17" s="9" t="s">
        <v>20</v>
      </c>
      <c r="H17" s="7" t="s">
        <v>23</v>
      </c>
      <c r="I17" s="21" t="e">
        <f>IF($H$3="EVEN", I16*$D$11^($H$4-1), "")</f>
        <v>#DIV/0!</v>
      </c>
      <c r="J17" s="18" t="s">
        <v>31</v>
      </c>
    </row>
    <row r="18" spans="2:10" ht="15" thickBot="1">
      <c r="B18" s="16" t="s">
        <v>6</v>
      </c>
      <c r="C18" s="26" t="s">
        <v>16</v>
      </c>
      <c r="D18" s="29" t="e" cm="1">
        <f t="array" ref="D18">_xlfn.XLOOKUP($D$8, IF($H$3="EVEN", CHOOSE({1,2,3},H9,H17,H19), CHOOSE({1,2,3},H9,H12,H14)), IF($H$3="EVEN", CHOOSE({1,2,3},I9,I17,I19), CHOOSE({1,2,3},I9,I12,I14)))</f>
        <v>#DIV/0!</v>
      </c>
      <c r="E18" s="30" t="s">
        <v>31</v>
      </c>
      <c r="G18" s="8" t="s">
        <v>18</v>
      </c>
      <c r="H18" s="6" t="s">
        <v>24</v>
      </c>
      <c r="I18" s="20" t="e">
        <f>IF($H$3="EVEN", D3*(1-D11)/(2*(1-D11^H4)), "")</f>
        <v>#DIV/0!</v>
      </c>
      <c r="J18" s="17" t="s">
        <v>31</v>
      </c>
    </row>
    <row r="19" spans="2:10">
      <c r="D19" s="54"/>
      <c r="G19" s="10" t="s">
        <v>20</v>
      </c>
      <c r="H19" s="11" t="s">
        <v>24</v>
      </c>
      <c r="I19" s="22" t="e">
        <f>IF($H$3="EVEN", I18*$D$11^($H$4-1), "")</f>
        <v>#DIV/0!</v>
      </c>
      <c r="J19" s="19" t="s">
        <v>31</v>
      </c>
    </row>
    <row r="20" spans="2:10" ht="15" thickBot="1">
      <c r="D20" s="54"/>
    </row>
    <row r="21" spans="2:10">
      <c r="D21" s="54"/>
      <c r="G21" s="35" t="s">
        <v>55</v>
      </c>
    </row>
    <row r="22" spans="2:10">
      <c r="D22" s="54"/>
      <c r="G22" s="36" t="s">
        <v>2</v>
      </c>
    </row>
    <row r="23" spans="2:10" ht="15" thickBot="1">
      <c r="D23" s="54"/>
      <c r="G23" s="37" t="s">
        <v>1</v>
      </c>
    </row>
    <row r="24" spans="2:10" ht="15" thickBot="1">
      <c r="D24" s="54"/>
    </row>
    <row r="25" spans="2:10">
      <c r="D25" s="54"/>
      <c r="G25" s="35" t="s">
        <v>56</v>
      </c>
    </row>
    <row r="26" spans="2:10">
      <c r="D26" s="54"/>
      <c r="G26" s="36" t="s">
        <v>5</v>
      </c>
    </row>
    <row r="27" spans="2:10" ht="15" thickBot="1">
      <c r="G27" s="37" t="s">
        <v>58</v>
      </c>
    </row>
    <row r="29" spans="2:10">
      <c r="G29" s="14" t="s">
        <v>26</v>
      </c>
    </row>
    <row r="30" spans="2:10">
      <c r="G30" s="13" t="s">
        <v>25</v>
      </c>
    </row>
    <row r="31" spans="2:10">
      <c r="G31" s="4" t="s">
        <v>23</v>
      </c>
    </row>
    <row r="32" spans="2:10">
      <c r="G32" s="13" t="s">
        <v>24</v>
      </c>
    </row>
  </sheetData>
  <mergeCells count="8">
    <mergeCell ref="G15:J15"/>
    <mergeCell ref="B16:E16"/>
    <mergeCell ref="D4:E4"/>
    <mergeCell ref="D6:E6"/>
    <mergeCell ref="G7:J7"/>
    <mergeCell ref="D8:E8"/>
    <mergeCell ref="B10:E10"/>
    <mergeCell ref="G10:J10"/>
  </mergeCells>
  <dataValidations count="3">
    <dataValidation type="list" showErrorMessage="1" sqref="H16:H19 H8:H9 H11:H14 D8:E8" xr:uid="{0F3197A2-50F2-4472-85E9-3F2DBF9B43B7}">
      <formula1>$G$30:$G$32</formula1>
    </dataValidation>
    <dataValidation type="list" showErrorMessage="1" sqref="D6:E6" xr:uid="{0C18CDA4-5B6D-478C-A60D-4802E79E9CD0}">
      <formula1>$G$26:$G$27</formula1>
    </dataValidation>
    <dataValidation type="list" showErrorMessage="1" sqref="D4:E4" xr:uid="{3539303C-C438-4DFB-9D22-E1E79DE6C719}">
      <formula1>$G$22:$G$23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FE87-8114-415B-A724-9B39CC59EC6C}">
  <sheetPr codeName="Sheet9">
    <tabColor theme="5"/>
  </sheetPr>
  <dimension ref="A1:K32"/>
  <sheetViews>
    <sheetView zoomScaleNormal="100" workbookViewId="0">
      <selection activeCell="D4" sqref="D4:E4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95" t="str" cm="1">
        <f t="array" aca="1" ref="A1" ca="1">MID(CELL("filename",A1),FIND("]",CELL("filename",A1))+1,31)</f>
        <v>ExpSpl2</v>
      </c>
      <c r="B1" s="59" t="s">
        <v>92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  <c r="J2" s="61" t="s">
        <v>102</v>
      </c>
    </row>
    <row r="3" spans="1:10">
      <c r="B3" s="40" t="s">
        <v>0</v>
      </c>
      <c r="C3" s="41" t="s">
        <v>10</v>
      </c>
      <c r="D3" s="42">
        <f>'Creo Input'!E9</f>
        <v>3.5412476529089001E-3</v>
      </c>
      <c r="E3" s="43" t="s">
        <v>31</v>
      </c>
      <c r="G3" s="31" t="s">
        <v>27</v>
      </c>
      <c r="H3" s="32" t="str">
        <f>IF(ISEVEN(D14),"EVEN","ODD")</f>
        <v>EVEN</v>
      </c>
      <c r="J3" s="93">
        <f>IF(D8=G30, D14, H4)</f>
        <v>18</v>
      </c>
    </row>
    <row r="4" spans="1:10">
      <c r="B4" s="44" t="s">
        <v>63</v>
      </c>
      <c r="D4" s="125" t="s">
        <v>2</v>
      </c>
      <c r="E4" s="126"/>
      <c r="G4" s="10" t="s">
        <v>30</v>
      </c>
      <c r="H4" s="12">
        <f>IF(H3="EVEN", D14/2, (D14+1)/2)</f>
        <v>9</v>
      </c>
    </row>
    <row r="5" spans="1:10">
      <c r="B5" s="44" t="s">
        <v>64</v>
      </c>
      <c r="C5" s="4" t="str">
        <f>IF(D4=G22,"𝓁_target", "N")</f>
        <v>𝓁_target</v>
      </c>
      <c r="D5" s="53">
        <f>RectY!D17</f>
        <v>2.010168855543449E-4</v>
      </c>
      <c r="E5" s="45" t="str">
        <f>IF(D4=G22, "  [m]", "  [   ]")</f>
        <v xml:space="preserve">  [m]</v>
      </c>
      <c r="G5"/>
    </row>
    <row r="6" spans="1:10">
      <c r="B6" s="44" t="s">
        <v>56</v>
      </c>
      <c r="D6" s="127" t="s">
        <v>5</v>
      </c>
      <c r="E6" s="128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1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25</v>
      </c>
      <c r="E8" s="130"/>
      <c r="G8" s="8" t="s">
        <v>7</v>
      </c>
      <c r="H8" s="6" t="s">
        <v>25</v>
      </c>
      <c r="I8" s="20" t="e">
        <f>D3*(1-D11)/(1-D11^D14)</f>
        <v>#DIV/0!</v>
      </c>
      <c r="J8" s="17" t="s">
        <v>31</v>
      </c>
    </row>
    <row r="9" spans="1:10">
      <c r="G9" s="8" t="s">
        <v>6</v>
      </c>
      <c r="H9" s="6" t="s">
        <v>25</v>
      </c>
      <c r="I9" s="20" t="e">
        <f>I8*D11^(D14-1)</f>
        <v>#DIV/0!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D7^(1/(J3-1)))</f>
        <v>1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D7^(J3-1))</f>
        <v>1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2.010168855543449E-4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18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 t="e">
        <f>IF($H$3="EVEN", D3*(1-D11)/(2*(1-D11^H4)), "")</f>
        <v>#DIV/0!</v>
      </c>
      <c r="J16" s="17" t="s">
        <v>31</v>
      </c>
    </row>
    <row r="17" spans="2:10">
      <c r="B17" s="15" t="s">
        <v>7</v>
      </c>
      <c r="C17" s="25" t="s">
        <v>13</v>
      </c>
      <c r="D17" s="27" t="e" cm="1">
        <f t="array" ref="D17">_xlfn.XLOOKUP($D$8, IF($H$3="EVEN", CHOOSE({1,2,3},H8,H16,H18), CHOOSE({1,2,3},H8,H11,H13)), IF($H$3="EVEN", CHOOSE({1,2,3},I8,I16,I18), CHOOSE({1,2,3},I8,I11,I13)))</f>
        <v>#DIV/0!</v>
      </c>
      <c r="E17" s="28" t="s">
        <v>31</v>
      </c>
      <c r="G17" s="9" t="s">
        <v>20</v>
      </c>
      <c r="H17" s="7" t="s">
        <v>23</v>
      </c>
      <c r="I17" s="21" t="e">
        <f>IF($H$3="EVEN", I16*$D$11^($H$4-1), "")</f>
        <v>#DIV/0!</v>
      </c>
      <c r="J17" s="18" t="s">
        <v>31</v>
      </c>
    </row>
    <row r="18" spans="2:10" ht="15" thickBot="1">
      <c r="B18" s="16" t="s">
        <v>6</v>
      </c>
      <c r="C18" s="26" t="s">
        <v>16</v>
      </c>
      <c r="D18" s="29" t="e" cm="1">
        <f t="array" ref="D18">_xlfn.XLOOKUP($D$8, IF($H$3="EVEN", CHOOSE({1,2,3},H9,H17,H19), CHOOSE({1,2,3},H9,H12,H14)), IF($H$3="EVEN", CHOOSE({1,2,3},I9,I17,I19), CHOOSE({1,2,3},I9,I12,I14)))</f>
        <v>#DIV/0!</v>
      </c>
      <c r="E18" s="30" t="s">
        <v>31</v>
      </c>
      <c r="G18" s="8" t="s">
        <v>18</v>
      </c>
      <c r="H18" s="6" t="s">
        <v>24</v>
      </c>
      <c r="I18" s="20" t="e">
        <f>IF($H$3="EVEN", D3*(1-D11)/(2*(1-D11^H4)), "")</f>
        <v>#DIV/0!</v>
      </c>
      <c r="J18" s="17" t="s">
        <v>31</v>
      </c>
    </row>
    <row r="19" spans="2:10">
      <c r="D19" s="54"/>
      <c r="G19" s="10" t="s">
        <v>20</v>
      </c>
      <c r="H19" s="11" t="s">
        <v>24</v>
      </c>
      <c r="I19" s="22" t="e">
        <f>IF($H$3="EVEN", I18*$D$11^($H$4-1), "")</f>
        <v>#DIV/0!</v>
      </c>
      <c r="J19" s="19" t="s">
        <v>31</v>
      </c>
    </row>
    <row r="20" spans="2:10" ht="15" thickBot="1">
      <c r="D20" s="54"/>
    </row>
    <row r="21" spans="2:10">
      <c r="D21" s="54"/>
      <c r="G21" s="35" t="s">
        <v>55</v>
      </c>
    </row>
    <row r="22" spans="2:10">
      <c r="D22" s="54"/>
      <c r="G22" s="36" t="s">
        <v>2</v>
      </c>
    </row>
    <row r="23" spans="2:10" ht="15" thickBot="1">
      <c r="D23" s="54"/>
      <c r="G23" s="37" t="s">
        <v>1</v>
      </c>
    </row>
    <row r="24" spans="2:10" ht="15" thickBot="1">
      <c r="D24" s="54"/>
    </row>
    <row r="25" spans="2:10">
      <c r="D25" s="54"/>
      <c r="G25" s="35" t="s">
        <v>56</v>
      </c>
    </row>
    <row r="26" spans="2:10">
      <c r="D26" s="54"/>
      <c r="G26" s="36" t="s">
        <v>5</v>
      </c>
    </row>
    <row r="27" spans="2:10" ht="15" thickBot="1">
      <c r="G27" s="37" t="s">
        <v>58</v>
      </c>
    </row>
    <row r="29" spans="2:10">
      <c r="G29" s="14" t="s">
        <v>26</v>
      </c>
    </row>
    <row r="30" spans="2:10">
      <c r="G30" s="13" t="s">
        <v>25</v>
      </c>
    </row>
    <row r="31" spans="2:10">
      <c r="G31" s="4" t="s">
        <v>23</v>
      </c>
    </row>
    <row r="32" spans="2:10">
      <c r="G32" s="13" t="s">
        <v>24</v>
      </c>
    </row>
  </sheetData>
  <mergeCells count="8">
    <mergeCell ref="G15:J15"/>
    <mergeCell ref="B16:E16"/>
    <mergeCell ref="D4:E4"/>
    <mergeCell ref="D6:E6"/>
    <mergeCell ref="G7:J7"/>
    <mergeCell ref="D8:E8"/>
    <mergeCell ref="B10:E10"/>
    <mergeCell ref="G10:J10"/>
  </mergeCells>
  <dataValidations count="3">
    <dataValidation type="list" showErrorMessage="1" sqref="D4:E4" xr:uid="{F6E93CDD-404E-444F-9C95-F0898D2ED06D}">
      <formula1>$G$22:$G$23</formula1>
    </dataValidation>
    <dataValidation type="list" showErrorMessage="1" sqref="D6:E6" xr:uid="{6A2EB951-6075-4F25-BEE9-049307273E9E}">
      <formula1>$G$26:$G$27</formula1>
    </dataValidation>
    <dataValidation type="list" showErrorMessage="1" sqref="H16:H19 H8:H9 H11:H14 D8:E8" xr:uid="{9ED13D79-23B7-4A5B-850C-2267BE181FAD}">
      <formula1>$G$30:$G$32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B637-5EC5-4631-B40B-809EBE0B7935}">
  <sheetPr codeName="Sheet10">
    <tabColor theme="5"/>
  </sheetPr>
  <dimension ref="A1:K32"/>
  <sheetViews>
    <sheetView zoomScaleNormal="100" workbookViewId="0">
      <selection activeCell="D5" sqref="D5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95" t="str" cm="1">
        <f t="array" aca="1" ref="A1" ca="1">MID(CELL("filename",A1),FIND("]",CELL("filename",A1))+1,31)</f>
        <v>ExpSpl3</v>
      </c>
      <c r="B1" s="59" t="s">
        <v>93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  <c r="J2" s="61" t="s">
        <v>102</v>
      </c>
    </row>
    <row r="3" spans="1:10">
      <c r="B3" s="40" t="s">
        <v>0</v>
      </c>
      <c r="C3" s="41" t="s">
        <v>10</v>
      </c>
      <c r="D3" s="42">
        <f>'Creo Input'!E10</f>
        <v>3.5412857376151503E-3</v>
      </c>
      <c r="E3" s="43" t="s">
        <v>31</v>
      </c>
      <c r="G3" s="31" t="s">
        <v>27</v>
      </c>
      <c r="H3" s="32" t="str">
        <f>IF(ISEVEN(D14),"EVEN","ODD")</f>
        <v>EVEN</v>
      </c>
      <c r="J3" s="93">
        <f>IF(D8=G30, D14, H4)</f>
        <v>18</v>
      </c>
    </row>
    <row r="4" spans="1:10">
      <c r="B4" s="44" t="s">
        <v>63</v>
      </c>
      <c r="D4" s="125" t="s">
        <v>2</v>
      </c>
      <c r="E4" s="126"/>
      <c r="G4" s="10" t="s">
        <v>30</v>
      </c>
      <c r="H4" s="12">
        <f>IF(H3="EVEN", D14/2, (D14+1)/2)</f>
        <v>9</v>
      </c>
    </row>
    <row r="5" spans="1:10">
      <c r="B5" s="44" t="s">
        <v>64</v>
      </c>
      <c r="C5" s="4" t="str">
        <f>IF(D4=G22,"𝓁_target", "N")</f>
        <v>𝓁_target</v>
      </c>
      <c r="D5" s="53">
        <f>RectY!D17</f>
        <v>2.010168855543449E-4</v>
      </c>
      <c r="E5" s="45" t="str">
        <f>IF(D4=G22, "  [m]", "  [   ]")</f>
        <v xml:space="preserve">  [m]</v>
      </c>
      <c r="G5"/>
    </row>
    <row r="6" spans="1:10">
      <c r="B6" s="44" t="s">
        <v>56</v>
      </c>
      <c r="D6" s="127" t="s">
        <v>5</v>
      </c>
      <c r="E6" s="128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1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25</v>
      </c>
      <c r="E8" s="130"/>
      <c r="G8" s="8" t="s">
        <v>7</v>
      </c>
      <c r="H8" s="6" t="s">
        <v>25</v>
      </c>
      <c r="I8" s="20" t="e">
        <f>D3*(1-D11)/(1-D11^D14)</f>
        <v>#DIV/0!</v>
      </c>
      <c r="J8" s="17" t="s">
        <v>31</v>
      </c>
    </row>
    <row r="9" spans="1:10">
      <c r="G9" s="8" t="s">
        <v>6</v>
      </c>
      <c r="H9" s="6" t="s">
        <v>25</v>
      </c>
      <c r="I9" s="20" t="e">
        <f>I8*D11^(D14-1)</f>
        <v>#DIV/0!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D7^(1/(J3-1)))</f>
        <v>1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D7^(J3-1))</f>
        <v>1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2.010168855543449E-4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18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 t="e">
        <f>IF($H$3="EVEN", D3*(1-D11)/(2*(1-D11^H4)), "")</f>
        <v>#DIV/0!</v>
      </c>
      <c r="J16" s="17" t="s">
        <v>31</v>
      </c>
    </row>
    <row r="17" spans="2:10">
      <c r="B17" s="15" t="s">
        <v>7</v>
      </c>
      <c r="C17" s="25" t="s">
        <v>13</v>
      </c>
      <c r="D17" s="27" t="e" cm="1">
        <f t="array" ref="D17">_xlfn.XLOOKUP($D$8, IF($H$3="EVEN", CHOOSE({1,2,3},H8,H16,H18), CHOOSE({1,2,3},H8,H11,H13)), IF($H$3="EVEN", CHOOSE({1,2,3},I8,I16,I18), CHOOSE({1,2,3},I8,I11,I13)))</f>
        <v>#DIV/0!</v>
      </c>
      <c r="E17" s="28" t="s">
        <v>31</v>
      </c>
      <c r="G17" s="9" t="s">
        <v>20</v>
      </c>
      <c r="H17" s="7" t="s">
        <v>23</v>
      </c>
      <c r="I17" s="21" t="e">
        <f>IF($H$3="EVEN", I16*$D$11^($H$4-1), "")</f>
        <v>#DIV/0!</v>
      </c>
      <c r="J17" s="18" t="s">
        <v>31</v>
      </c>
    </row>
    <row r="18" spans="2:10" ht="15" thickBot="1">
      <c r="B18" s="16" t="s">
        <v>6</v>
      </c>
      <c r="C18" s="26" t="s">
        <v>16</v>
      </c>
      <c r="D18" s="29" t="e" cm="1">
        <f t="array" ref="D18">_xlfn.XLOOKUP($D$8, IF($H$3="EVEN", CHOOSE({1,2,3},H9,H17,H19), CHOOSE({1,2,3},H9,H12,H14)), IF($H$3="EVEN", CHOOSE({1,2,3},I9,I17,I19), CHOOSE({1,2,3},I9,I12,I14)))</f>
        <v>#DIV/0!</v>
      </c>
      <c r="E18" s="30" t="s">
        <v>31</v>
      </c>
      <c r="G18" s="8" t="s">
        <v>18</v>
      </c>
      <c r="H18" s="6" t="s">
        <v>24</v>
      </c>
      <c r="I18" s="20" t="e">
        <f>IF($H$3="EVEN", D3*(1-D11)/(2*(1-D11^H4)), "")</f>
        <v>#DIV/0!</v>
      </c>
      <c r="J18" s="17" t="s">
        <v>31</v>
      </c>
    </row>
    <row r="19" spans="2:10">
      <c r="D19" s="54"/>
      <c r="G19" s="10" t="s">
        <v>20</v>
      </c>
      <c r="H19" s="11" t="s">
        <v>24</v>
      </c>
      <c r="I19" s="22" t="e">
        <f>IF($H$3="EVEN", I18*$D$11^($H$4-1), "")</f>
        <v>#DIV/0!</v>
      </c>
      <c r="J19" s="19" t="s">
        <v>31</v>
      </c>
    </row>
    <row r="20" spans="2:10" ht="15" thickBot="1">
      <c r="D20" s="54"/>
    </row>
    <row r="21" spans="2:10">
      <c r="D21" s="54"/>
      <c r="G21" s="35" t="s">
        <v>55</v>
      </c>
    </row>
    <row r="22" spans="2:10">
      <c r="D22" s="54"/>
      <c r="G22" s="36" t="s">
        <v>2</v>
      </c>
    </row>
    <row r="23" spans="2:10" ht="15" thickBot="1">
      <c r="D23" s="54"/>
      <c r="G23" s="37" t="s">
        <v>1</v>
      </c>
    </row>
    <row r="24" spans="2:10" ht="15" thickBot="1">
      <c r="D24" s="54"/>
    </row>
    <row r="25" spans="2:10">
      <c r="D25" s="54"/>
      <c r="G25" s="35" t="s">
        <v>56</v>
      </c>
    </row>
    <row r="26" spans="2:10">
      <c r="D26" s="54"/>
      <c r="G26" s="36" t="s">
        <v>5</v>
      </c>
    </row>
    <row r="27" spans="2:10" ht="15" thickBot="1">
      <c r="G27" s="37" t="s">
        <v>58</v>
      </c>
    </row>
    <row r="29" spans="2:10">
      <c r="G29" s="14" t="s">
        <v>26</v>
      </c>
    </row>
    <row r="30" spans="2:10">
      <c r="G30" s="13" t="s">
        <v>25</v>
      </c>
    </row>
    <row r="31" spans="2:10">
      <c r="G31" s="4" t="s">
        <v>23</v>
      </c>
    </row>
    <row r="32" spans="2:10">
      <c r="G32" s="13" t="s">
        <v>24</v>
      </c>
    </row>
  </sheetData>
  <mergeCells count="8">
    <mergeCell ref="G15:J15"/>
    <mergeCell ref="B16:E16"/>
    <mergeCell ref="D4:E4"/>
    <mergeCell ref="D6:E6"/>
    <mergeCell ref="G7:J7"/>
    <mergeCell ref="D8:E8"/>
    <mergeCell ref="B10:E10"/>
    <mergeCell ref="G10:J10"/>
  </mergeCells>
  <dataValidations count="3">
    <dataValidation type="list" showErrorMessage="1" sqref="H16:H19 H8:H9 H11:H14 D8:E8" xr:uid="{8152846A-4E69-49B0-A20F-99AE285BFC8A}">
      <formula1>$G$30:$G$32</formula1>
    </dataValidation>
    <dataValidation type="list" showErrorMessage="1" sqref="D6:E6" xr:uid="{438D58A8-0645-448E-BB6A-912F23DFD559}">
      <formula1>$G$26:$G$27</formula1>
    </dataValidation>
    <dataValidation type="list" showErrorMessage="1" sqref="D4:E4" xr:uid="{11044BD5-FED4-4C62-9191-B0AE2ED289D7}">
      <formula1>$G$22:$G$23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64CE-318E-4C44-A88C-35EFE42CA02B}">
  <sheetPr codeName="Sheet11">
    <tabColor theme="5"/>
  </sheetPr>
  <dimension ref="A1:K32"/>
  <sheetViews>
    <sheetView zoomScaleNormal="100" workbookViewId="0">
      <selection activeCell="D5" sqref="D5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95" t="str" cm="1">
        <f t="array" aca="1" ref="A1" ca="1">MID(CELL("filename",A1),FIND("]",CELL("filename",A1))+1,31)</f>
        <v>ExpSpl4</v>
      </c>
      <c r="B1" s="59" t="s">
        <v>94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  <c r="J2" s="61" t="s">
        <v>102</v>
      </c>
    </row>
    <row r="3" spans="1:10">
      <c r="B3" s="40" t="s">
        <v>0</v>
      </c>
      <c r="C3" s="41" t="s">
        <v>10</v>
      </c>
      <c r="D3" s="42">
        <f>'Creo Input'!E11</f>
        <v>3.5413572993419603E-3</v>
      </c>
      <c r="E3" s="43" t="s">
        <v>31</v>
      </c>
      <c r="G3" s="31" t="s">
        <v>27</v>
      </c>
      <c r="H3" s="32" t="str">
        <f>IF(ISEVEN(D14),"EVEN","ODD")</f>
        <v>EVEN</v>
      </c>
      <c r="J3" s="93">
        <f>IF(D8=G30, D14, H4)</f>
        <v>18</v>
      </c>
    </row>
    <row r="4" spans="1:10">
      <c r="B4" s="44" t="s">
        <v>63</v>
      </c>
      <c r="D4" s="125" t="s">
        <v>2</v>
      </c>
      <c r="E4" s="126"/>
      <c r="G4" s="10" t="s">
        <v>30</v>
      </c>
      <c r="H4" s="12">
        <f>IF(H3="EVEN", D14/2, (D14+1)/2)</f>
        <v>9</v>
      </c>
    </row>
    <row r="5" spans="1:10">
      <c r="B5" s="44" t="s">
        <v>64</v>
      </c>
      <c r="C5" s="4" t="str">
        <f>IF(D4=G22,"𝓁_target", "N")</f>
        <v>𝓁_target</v>
      </c>
      <c r="D5" s="53">
        <f>RectY!D17</f>
        <v>2.010168855543449E-4</v>
      </c>
      <c r="E5" s="45" t="str">
        <f>IF(D4=G22, "  [m]", "  [   ]")</f>
        <v xml:space="preserve">  [m]</v>
      </c>
      <c r="G5"/>
    </row>
    <row r="6" spans="1:10">
      <c r="B6" s="44" t="s">
        <v>56</v>
      </c>
      <c r="D6" s="127" t="s">
        <v>5</v>
      </c>
      <c r="E6" s="128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1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25</v>
      </c>
      <c r="E8" s="130"/>
      <c r="G8" s="8" t="s">
        <v>7</v>
      </c>
      <c r="H8" s="6" t="s">
        <v>25</v>
      </c>
      <c r="I8" s="20" t="e">
        <f>D3*(1-D11)/(1-D11^D14)</f>
        <v>#DIV/0!</v>
      </c>
      <c r="J8" s="17" t="s">
        <v>31</v>
      </c>
    </row>
    <row r="9" spans="1:10">
      <c r="G9" s="8" t="s">
        <v>6</v>
      </c>
      <c r="H9" s="6" t="s">
        <v>25</v>
      </c>
      <c r="I9" s="20" t="e">
        <f>I8*D11^(D14-1)</f>
        <v>#DIV/0!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D7^(1/(J3-1)))</f>
        <v>1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D7^(J3-1))</f>
        <v>1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2.010168855543449E-4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18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 t="e">
        <f>IF($H$3="EVEN", D3*(1-D11)/(2*(1-D11^H4)), "")</f>
        <v>#DIV/0!</v>
      </c>
      <c r="J16" s="17" t="s">
        <v>31</v>
      </c>
    </row>
    <row r="17" spans="2:10">
      <c r="B17" s="15" t="s">
        <v>7</v>
      </c>
      <c r="C17" s="25" t="s">
        <v>13</v>
      </c>
      <c r="D17" s="27" t="e" cm="1">
        <f t="array" ref="D17">_xlfn.XLOOKUP($D$8, IF($H$3="EVEN", CHOOSE({1,2,3},H8,H16,H18), CHOOSE({1,2,3},H8,H11,H13)), IF($H$3="EVEN", CHOOSE({1,2,3},I8,I16,I18), CHOOSE({1,2,3},I8,I11,I13)))</f>
        <v>#DIV/0!</v>
      </c>
      <c r="E17" s="28" t="s">
        <v>31</v>
      </c>
      <c r="G17" s="9" t="s">
        <v>20</v>
      </c>
      <c r="H17" s="7" t="s">
        <v>23</v>
      </c>
      <c r="I17" s="21" t="e">
        <f>IF($H$3="EVEN", I16*$D$11^($H$4-1), "")</f>
        <v>#DIV/0!</v>
      </c>
      <c r="J17" s="18" t="s">
        <v>31</v>
      </c>
    </row>
    <row r="18" spans="2:10" ht="15" thickBot="1">
      <c r="B18" s="16" t="s">
        <v>6</v>
      </c>
      <c r="C18" s="26" t="s">
        <v>16</v>
      </c>
      <c r="D18" s="29" t="e" cm="1">
        <f t="array" ref="D18">_xlfn.XLOOKUP($D$8, IF($H$3="EVEN", CHOOSE({1,2,3},H9,H17,H19), CHOOSE({1,2,3},H9,H12,H14)), IF($H$3="EVEN", CHOOSE({1,2,3},I9,I17,I19), CHOOSE({1,2,3},I9,I12,I14)))</f>
        <v>#DIV/0!</v>
      </c>
      <c r="E18" s="30" t="s">
        <v>31</v>
      </c>
      <c r="G18" s="8" t="s">
        <v>18</v>
      </c>
      <c r="H18" s="6" t="s">
        <v>24</v>
      </c>
      <c r="I18" s="20" t="e">
        <f>IF($H$3="EVEN", D3*(1-D11)/(2*(1-D11^H4)), "")</f>
        <v>#DIV/0!</v>
      </c>
      <c r="J18" s="17" t="s">
        <v>31</v>
      </c>
    </row>
    <row r="19" spans="2:10">
      <c r="D19" s="54"/>
      <c r="G19" s="10" t="s">
        <v>20</v>
      </c>
      <c r="H19" s="11" t="s">
        <v>24</v>
      </c>
      <c r="I19" s="22" t="e">
        <f>IF($H$3="EVEN", I18*$D$11^($H$4-1), "")</f>
        <v>#DIV/0!</v>
      </c>
      <c r="J19" s="19" t="s">
        <v>31</v>
      </c>
    </row>
    <row r="20" spans="2:10" ht="15" thickBot="1">
      <c r="D20" s="54"/>
    </row>
    <row r="21" spans="2:10">
      <c r="D21" s="54"/>
      <c r="G21" s="35" t="s">
        <v>55</v>
      </c>
    </row>
    <row r="22" spans="2:10">
      <c r="D22" s="54"/>
      <c r="G22" s="36" t="s">
        <v>2</v>
      </c>
    </row>
    <row r="23" spans="2:10" ht="15" thickBot="1">
      <c r="D23" s="54"/>
      <c r="G23" s="37" t="s">
        <v>1</v>
      </c>
    </row>
    <row r="24" spans="2:10" ht="15" thickBot="1">
      <c r="D24" s="54"/>
    </row>
    <row r="25" spans="2:10">
      <c r="D25" s="54"/>
      <c r="G25" s="35" t="s">
        <v>56</v>
      </c>
    </row>
    <row r="26" spans="2:10">
      <c r="D26" s="54"/>
      <c r="G26" s="36" t="s">
        <v>5</v>
      </c>
    </row>
    <row r="27" spans="2:10" ht="15" thickBot="1">
      <c r="G27" s="37" t="s">
        <v>58</v>
      </c>
    </row>
    <row r="29" spans="2:10">
      <c r="G29" s="14" t="s">
        <v>26</v>
      </c>
    </row>
    <row r="30" spans="2:10">
      <c r="G30" s="13" t="s">
        <v>25</v>
      </c>
    </row>
    <row r="31" spans="2:10">
      <c r="G31" s="4" t="s">
        <v>23</v>
      </c>
    </row>
    <row r="32" spans="2:10">
      <c r="G32" s="13" t="s">
        <v>24</v>
      </c>
    </row>
  </sheetData>
  <mergeCells count="8">
    <mergeCell ref="G15:J15"/>
    <mergeCell ref="B16:E16"/>
    <mergeCell ref="D4:E4"/>
    <mergeCell ref="D6:E6"/>
    <mergeCell ref="G7:J7"/>
    <mergeCell ref="D8:E8"/>
    <mergeCell ref="B10:E10"/>
    <mergeCell ref="G10:J10"/>
  </mergeCells>
  <dataValidations count="3">
    <dataValidation type="list" showErrorMessage="1" sqref="D4:E4" xr:uid="{1D4E6C53-074A-4052-A500-F03B69CD8129}">
      <formula1>$G$22:$G$23</formula1>
    </dataValidation>
    <dataValidation type="list" showErrorMessage="1" sqref="D6:E6" xr:uid="{72715C47-2CA7-4A7C-804D-6FA77AC2F550}">
      <formula1>$G$26:$G$27</formula1>
    </dataValidation>
    <dataValidation type="list" showErrorMessage="1" sqref="H16:H19 H8:H9 H11:H14 D8:E8" xr:uid="{8F397F8A-B0EC-4A8A-86F2-4CBFB2F72665}">
      <formula1>$G$30:$G$32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FED2-05BB-487E-8900-17A9415B406A}">
  <sheetPr codeName="Sheet13">
    <tabColor theme="5"/>
  </sheetPr>
  <dimension ref="A1:K32"/>
  <sheetViews>
    <sheetView zoomScaleNormal="100" workbookViewId="0">
      <selection activeCell="D5" sqref="D5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95" t="str" cm="1">
        <f t="array" aca="1" ref="A1" ca="1">MID(CELL("filename",A1),FIND("]",CELL("filename",A1))+1,31)</f>
        <v>ExpSpl5</v>
      </c>
      <c r="B1" s="59" t="s">
        <v>95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  <c r="J2" s="61" t="s">
        <v>102</v>
      </c>
    </row>
    <row r="3" spans="1:10">
      <c r="B3" s="40" t="s">
        <v>0</v>
      </c>
      <c r="C3" s="41" t="s">
        <v>10</v>
      </c>
      <c r="D3" s="42">
        <f>'Creo Input'!E12</f>
        <v>2.3608584208116802E-3</v>
      </c>
      <c r="E3" s="43" t="s">
        <v>31</v>
      </c>
      <c r="G3" s="31" t="s">
        <v>27</v>
      </c>
      <c r="H3" s="32" t="str">
        <f>IF(ISEVEN(D14),"EVEN","ODD")</f>
        <v>EVEN</v>
      </c>
      <c r="J3" s="93">
        <f>IF(D8=G30, D14, H4)</f>
        <v>12</v>
      </c>
    </row>
    <row r="4" spans="1:10">
      <c r="B4" s="44" t="s">
        <v>63</v>
      </c>
      <c r="D4" s="125" t="s">
        <v>2</v>
      </c>
      <c r="E4" s="126"/>
      <c r="G4" s="10" t="s">
        <v>30</v>
      </c>
      <c r="H4" s="12">
        <f>IF(H3="EVEN", D14/2, (D14+1)/2)</f>
        <v>6</v>
      </c>
    </row>
    <row r="5" spans="1:10">
      <c r="B5" s="44" t="s">
        <v>64</v>
      </c>
      <c r="C5" s="4" t="str">
        <f>IF(D4=G22,"𝓁_target", "N")</f>
        <v>𝓁_target</v>
      </c>
      <c r="D5" s="53">
        <f>RectY!D17</f>
        <v>2.010168855543449E-4</v>
      </c>
      <c r="E5" s="45" t="str">
        <f>IF(D4=G22, "  [m]", "  [   ]")</f>
        <v xml:space="preserve">  [m]</v>
      </c>
      <c r="G5"/>
    </row>
    <row r="6" spans="1:10">
      <c r="B6" s="44" t="s">
        <v>56</v>
      </c>
      <c r="D6" s="127" t="s">
        <v>5</v>
      </c>
      <c r="E6" s="128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1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25</v>
      </c>
      <c r="E8" s="130"/>
      <c r="G8" s="8" t="s">
        <v>7</v>
      </c>
      <c r="H8" s="6" t="s">
        <v>25</v>
      </c>
      <c r="I8" s="20" t="e">
        <f>D3*(1-D11)/(1-D11^D14)</f>
        <v>#DIV/0!</v>
      </c>
      <c r="J8" s="17" t="s">
        <v>31</v>
      </c>
    </row>
    <row r="9" spans="1:10">
      <c r="G9" s="8" t="s">
        <v>6</v>
      </c>
      <c r="H9" s="6" t="s">
        <v>25</v>
      </c>
      <c r="I9" s="20" t="e">
        <f>I8*D11^(D14-1)</f>
        <v>#DIV/0!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D7^(1/(J3-1)))</f>
        <v>1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D7^(J3-1))</f>
        <v>1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2.010168855543449E-4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12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 t="e">
        <f>IF($H$3="EVEN", D3*(1-D11)/(2*(1-D11^H4)), "")</f>
        <v>#DIV/0!</v>
      </c>
      <c r="J16" s="17" t="s">
        <v>31</v>
      </c>
    </row>
    <row r="17" spans="2:10">
      <c r="B17" s="15" t="s">
        <v>7</v>
      </c>
      <c r="C17" s="25" t="s">
        <v>13</v>
      </c>
      <c r="D17" s="27" t="e" cm="1">
        <f t="array" ref="D17">_xlfn.XLOOKUP($D$8, IF($H$3="EVEN", CHOOSE({1,2,3},H8,H16,H18), CHOOSE({1,2,3},H8,H11,H13)), IF($H$3="EVEN", CHOOSE({1,2,3},I8,I16,I18), CHOOSE({1,2,3},I8,I11,I13)))</f>
        <v>#DIV/0!</v>
      </c>
      <c r="E17" s="28" t="s">
        <v>31</v>
      </c>
      <c r="G17" s="9" t="s">
        <v>20</v>
      </c>
      <c r="H17" s="7" t="s">
        <v>23</v>
      </c>
      <c r="I17" s="21" t="e">
        <f>IF($H$3="EVEN", I16*$D$11^($H$4-1), "")</f>
        <v>#DIV/0!</v>
      </c>
      <c r="J17" s="18" t="s">
        <v>31</v>
      </c>
    </row>
    <row r="18" spans="2:10" ht="15" thickBot="1">
      <c r="B18" s="16" t="s">
        <v>6</v>
      </c>
      <c r="C18" s="26" t="s">
        <v>16</v>
      </c>
      <c r="D18" s="29" t="e" cm="1">
        <f t="array" ref="D18">_xlfn.XLOOKUP($D$8, IF($H$3="EVEN", CHOOSE({1,2,3},H9,H17,H19), CHOOSE({1,2,3},H9,H12,H14)), IF($H$3="EVEN", CHOOSE({1,2,3},I9,I17,I19), CHOOSE({1,2,3},I9,I12,I14)))</f>
        <v>#DIV/0!</v>
      </c>
      <c r="E18" s="30" t="s">
        <v>31</v>
      </c>
      <c r="G18" s="8" t="s">
        <v>18</v>
      </c>
      <c r="H18" s="6" t="s">
        <v>24</v>
      </c>
      <c r="I18" s="20" t="e">
        <f>IF($H$3="EVEN", D3*(1-D11)/(2*(1-D11^H4)), "")</f>
        <v>#DIV/0!</v>
      </c>
      <c r="J18" s="17" t="s">
        <v>31</v>
      </c>
    </row>
    <row r="19" spans="2:10">
      <c r="D19" s="54"/>
      <c r="G19" s="10" t="s">
        <v>20</v>
      </c>
      <c r="H19" s="11" t="s">
        <v>24</v>
      </c>
      <c r="I19" s="22" t="e">
        <f>IF($H$3="EVEN", I18*$D$11^($H$4-1), "")</f>
        <v>#DIV/0!</v>
      </c>
      <c r="J19" s="19" t="s">
        <v>31</v>
      </c>
    </row>
    <row r="20" spans="2:10" ht="15" thickBot="1">
      <c r="D20" s="54"/>
    </row>
    <row r="21" spans="2:10">
      <c r="D21" s="54"/>
      <c r="G21" s="35" t="s">
        <v>55</v>
      </c>
    </row>
    <row r="22" spans="2:10">
      <c r="D22" s="54"/>
      <c r="G22" s="36" t="s">
        <v>2</v>
      </c>
    </row>
    <row r="23" spans="2:10" ht="15" thickBot="1">
      <c r="D23" s="54"/>
      <c r="G23" s="37" t="s">
        <v>1</v>
      </c>
    </row>
    <row r="24" spans="2:10" ht="15" thickBot="1">
      <c r="D24" s="54"/>
    </row>
    <row r="25" spans="2:10">
      <c r="D25" s="54"/>
      <c r="G25" s="35" t="s">
        <v>56</v>
      </c>
    </row>
    <row r="26" spans="2:10">
      <c r="D26" s="54"/>
      <c r="G26" s="36" t="s">
        <v>5</v>
      </c>
    </row>
    <row r="27" spans="2:10" ht="15" thickBot="1">
      <c r="G27" s="37" t="s">
        <v>58</v>
      </c>
    </row>
    <row r="29" spans="2:10">
      <c r="G29" s="14" t="s">
        <v>26</v>
      </c>
    </row>
    <row r="30" spans="2:10">
      <c r="G30" s="13" t="s">
        <v>25</v>
      </c>
    </row>
    <row r="31" spans="2:10">
      <c r="G31" s="4" t="s">
        <v>23</v>
      </c>
    </row>
    <row r="32" spans="2:10">
      <c r="G32" s="13" t="s">
        <v>24</v>
      </c>
    </row>
  </sheetData>
  <mergeCells count="8">
    <mergeCell ref="G15:J15"/>
    <mergeCell ref="B16:E16"/>
    <mergeCell ref="D4:E4"/>
    <mergeCell ref="D6:E6"/>
    <mergeCell ref="G7:J7"/>
    <mergeCell ref="D8:E8"/>
    <mergeCell ref="B10:E10"/>
    <mergeCell ref="G10:J10"/>
  </mergeCells>
  <dataValidations count="3">
    <dataValidation type="list" showErrorMessage="1" sqref="H16:H19 H8:H9 H11:H14 D8:E8" xr:uid="{864FAD15-8BB9-4F86-802B-1EE5E7FFAE9E}">
      <formula1>$G$30:$G$32</formula1>
    </dataValidation>
    <dataValidation type="list" showErrorMessage="1" sqref="D6:E6" xr:uid="{F20983C6-BBF1-4CDC-8578-0841F1ECB2EF}">
      <formula1>$G$26:$G$27</formula1>
    </dataValidation>
    <dataValidation type="list" showErrorMessage="1" sqref="D4:E4" xr:uid="{550C6DF3-FE7B-4DF3-9DA1-1769112EB6A8}">
      <formula1>$G$22:$G$23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10EB-AB13-4859-8DE4-605FB1AE435C}">
  <sheetPr codeName="Sheet14">
    <tabColor rgb="FFB43E3E"/>
  </sheetPr>
  <dimension ref="A1:K32"/>
  <sheetViews>
    <sheetView zoomScaleNormal="100" workbookViewId="0">
      <selection activeCell="D5" sqref="D5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92" t="str" cm="1">
        <f t="array" aca="1" ref="A1" ca="1">MID(CELL("filename",A1),FIND("]",CELL("filename",A1))+1,31)</f>
        <v>ExpPar1</v>
      </c>
      <c r="B1" s="59" t="s">
        <v>87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  <c r="J2" s="61" t="s">
        <v>102</v>
      </c>
    </row>
    <row r="3" spans="1:10">
      <c r="B3" s="40" t="s">
        <v>0</v>
      </c>
      <c r="C3" s="41" t="s">
        <v>10</v>
      </c>
      <c r="D3" s="42">
        <f>'Creo Input'!E4</f>
        <v>3.6583654651758104E-3</v>
      </c>
      <c r="E3" s="43" t="s">
        <v>31</v>
      </c>
      <c r="G3" s="31" t="s">
        <v>27</v>
      </c>
      <c r="H3" s="32" t="str">
        <f>IF(ISEVEN(D14),"EVEN","ODD")</f>
        <v>EVEN</v>
      </c>
      <c r="J3" s="93">
        <f>IF(D8=G30, D14, H4)</f>
        <v>80</v>
      </c>
    </row>
    <row r="4" spans="1:10">
      <c r="B4" s="44" t="s">
        <v>63</v>
      </c>
      <c r="D4" s="125" t="s">
        <v>1</v>
      </c>
      <c r="E4" s="126"/>
      <c r="G4" s="10" t="s">
        <v>30</v>
      </c>
      <c r="H4" s="12">
        <f>IF(H3="EVEN", D14/2, (D14+1)/2)</f>
        <v>40</v>
      </c>
    </row>
    <row r="5" spans="1:10">
      <c r="B5" s="44" t="s">
        <v>64</v>
      </c>
      <c r="C5" s="4" t="str">
        <f>IF(D4=G22,"𝓁_target", "N")</f>
        <v>N</v>
      </c>
      <c r="D5" s="53">
        <f>RectX!D14</f>
        <v>80</v>
      </c>
      <c r="E5" s="45" t="str">
        <f>IF(D4=G22, "  [m]", "  [   ]")</f>
        <v xml:space="preserve">  [   ]</v>
      </c>
      <c r="G5"/>
    </row>
    <row r="6" spans="1:10">
      <c r="B6" s="44" t="s">
        <v>56</v>
      </c>
      <c r="D6" s="127" t="s">
        <v>5</v>
      </c>
      <c r="E6" s="128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4.1555313084094223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25</v>
      </c>
      <c r="E8" s="130"/>
      <c r="G8" s="8" t="s">
        <v>7</v>
      </c>
      <c r="H8" s="6" t="s">
        <v>25</v>
      </c>
      <c r="I8" s="20">
        <f>D3*(1-D11)/(1-D11^D14)</f>
        <v>2.0600125719508828E-5</v>
      </c>
      <c r="J8" s="17" t="s">
        <v>31</v>
      </c>
    </row>
    <row r="9" spans="1:10">
      <c r="G9" s="8" t="s">
        <v>6</v>
      </c>
      <c r="H9" s="6" t="s">
        <v>25</v>
      </c>
      <c r="I9" s="20">
        <f>I8*D11^(D14-1)</f>
        <v>8.5604467384589041E-5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D7^(1/(J3-1)))</f>
        <v>1.0181944277003885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D7^(J3-1))</f>
        <v>4.1555313084094223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4.5729568314697632E-5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80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>
        <f>IF($H$3="EVEN", D3*(1-D11)/(2*(1-D11^H4)), "")</f>
        <v>3.1487016312965273E-5</v>
      </c>
      <c r="J16" s="17" t="s">
        <v>31</v>
      </c>
    </row>
    <row r="17" spans="2:10">
      <c r="B17" s="15" t="s">
        <v>7</v>
      </c>
      <c r="C17" s="25" t="s">
        <v>13</v>
      </c>
      <c r="D17" s="27" cm="1">
        <f t="array" ref="D17">_xlfn.XLOOKUP($D$8, IF($H$3="EVEN", CHOOSE({1,2,3},H8,H16,H18), CHOOSE({1,2,3},H8,H11,H13)), IF($H$3="EVEN", CHOOSE({1,2,3},I8,I16,I18), CHOOSE({1,2,3},I8,I11,I13)))</f>
        <v>2.0600125719508828E-5</v>
      </c>
      <c r="E17" s="28" t="s">
        <v>31</v>
      </c>
      <c r="G17" s="9" t="s">
        <v>20</v>
      </c>
      <c r="H17" s="7" t="s">
        <v>23</v>
      </c>
      <c r="I17" s="21">
        <f>IF($H$3="EVEN", I16*$D$11^($H$4-1), "")</f>
        <v>6.3610590993033234E-5</v>
      </c>
      <c r="J17" s="18" t="s">
        <v>31</v>
      </c>
    </row>
    <row r="18" spans="2:10" ht="15" thickBot="1">
      <c r="B18" s="16" t="s">
        <v>6</v>
      </c>
      <c r="C18" s="26" t="s">
        <v>16</v>
      </c>
      <c r="D18" s="29" cm="1">
        <f t="array" ref="D18">_xlfn.XLOOKUP($D$8, IF($H$3="EVEN", CHOOSE({1,2,3},H9,H17,H19), CHOOSE({1,2,3},H9,H12,H14)), IF($H$3="EVEN", CHOOSE({1,2,3},I9,I17,I19), CHOOSE({1,2,3},I9,I12,I14)))</f>
        <v>8.5604467384589041E-5</v>
      </c>
      <c r="E18" s="30" t="s">
        <v>31</v>
      </c>
      <c r="G18" s="8" t="s">
        <v>18</v>
      </c>
      <c r="H18" s="6" t="s">
        <v>24</v>
      </c>
      <c r="I18" s="20">
        <f>IF($H$3="EVEN", D3*(1-D11)/(2*(1-D11^H4)), "")</f>
        <v>3.1487016312965273E-5</v>
      </c>
      <c r="J18" s="17" t="s">
        <v>31</v>
      </c>
    </row>
    <row r="19" spans="2:10">
      <c r="D19" s="54"/>
      <c r="G19" s="10" t="s">
        <v>20</v>
      </c>
      <c r="H19" s="11" t="s">
        <v>24</v>
      </c>
      <c r="I19" s="22">
        <f>IF($H$3="EVEN", I18*$D$11^($H$4-1), "")</f>
        <v>6.3610590993033234E-5</v>
      </c>
      <c r="J19" s="19" t="s">
        <v>31</v>
      </c>
    </row>
    <row r="20" spans="2:10" ht="15" thickBot="1">
      <c r="B20" s="124" t="s">
        <v>72</v>
      </c>
      <c r="C20" s="124"/>
      <c r="D20" s="124"/>
      <c r="E20" s="124"/>
    </row>
    <row r="21" spans="2:10">
      <c r="B21" s="15" t="s">
        <v>78</v>
      </c>
      <c r="C21" s="25" t="s">
        <v>73</v>
      </c>
      <c r="D21" s="27">
        <f>('Creo Input'!E13)/Rectangle_ZGrid_NDiv</f>
        <v>2.0600125401511115E-5</v>
      </c>
      <c r="E21" s="28" t="s">
        <v>31</v>
      </c>
      <c r="G21" s="35" t="s">
        <v>55</v>
      </c>
    </row>
    <row r="22" spans="2:10" ht="15" thickBot="1">
      <c r="B22" s="16" t="s">
        <v>74</v>
      </c>
      <c r="C22" s="26" t="s">
        <v>16</v>
      </c>
      <c r="D22" s="29">
        <f>ABS(D21-D17)</f>
        <v>3.1799771352931071E-13</v>
      </c>
      <c r="E22" s="30" t="s">
        <v>31</v>
      </c>
      <c r="G22" s="36" t="s">
        <v>2</v>
      </c>
    </row>
    <row r="23" spans="2:10" ht="15" thickBot="1">
      <c r="D23" s="54"/>
      <c r="G23" s="37" t="s">
        <v>1</v>
      </c>
    </row>
    <row r="24" spans="2:10" ht="15" thickBot="1">
      <c r="D24" s="54"/>
    </row>
    <row r="25" spans="2:10">
      <c r="D25" s="54"/>
      <c r="G25" s="35" t="s">
        <v>56</v>
      </c>
    </row>
    <row r="26" spans="2:10">
      <c r="D26" s="54"/>
      <c r="G26" s="36" t="s">
        <v>5</v>
      </c>
    </row>
    <row r="27" spans="2:10" ht="15" thickBot="1">
      <c r="G27" s="37" t="s">
        <v>58</v>
      </c>
    </row>
    <row r="29" spans="2:10">
      <c r="G29" s="14" t="s">
        <v>26</v>
      </c>
    </row>
    <row r="30" spans="2:10">
      <c r="G30" s="13" t="s">
        <v>25</v>
      </c>
    </row>
    <row r="31" spans="2:10">
      <c r="G31" s="4" t="s">
        <v>23</v>
      </c>
    </row>
    <row r="32" spans="2:10">
      <c r="G32" s="13" t="s">
        <v>24</v>
      </c>
    </row>
  </sheetData>
  <mergeCells count="9">
    <mergeCell ref="G15:J15"/>
    <mergeCell ref="B16:E16"/>
    <mergeCell ref="B20:E20"/>
    <mergeCell ref="D4:E4"/>
    <mergeCell ref="D6:E6"/>
    <mergeCell ref="G7:J7"/>
    <mergeCell ref="D8:E8"/>
    <mergeCell ref="B10:E10"/>
    <mergeCell ref="G10:J10"/>
  </mergeCells>
  <dataValidations count="3">
    <dataValidation type="list" showErrorMessage="1" sqref="H16:H19 H8:H9 H11:H14 D8:E8" xr:uid="{B999326E-98C2-4A20-8920-E6FC70D5A1E1}">
      <formula1>$G$30:$G$32</formula1>
    </dataValidation>
    <dataValidation type="list" showErrorMessage="1" sqref="D6:E6" xr:uid="{5CDE9FCF-1FFD-4514-89D9-EB3357FE26A4}">
      <formula1>$G$26:$G$27</formula1>
    </dataValidation>
    <dataValidation type="list" showErrorMessage="1" sqref="D4:E4" xr:uid="{909E65FC-5680-4C47-AC14-4A3B5576E393}">
      <formula1>$G$22:$G$23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D3AF-DAC6-4023-8397-48C97F3131D5}">
  <sheetPr codeName="Sheet15">
    <tabColor rgb="FFB43E3E"/>
  </sheetPr>
  <dimension ref="A1:K32"/>
  <sheetViews>
    <sheetView zoomScaleNormal="100" workbookViewId="0">
      <selection activeCell="D5" sqref="D5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92" t="str" cm="1">
        <f t="array" aca="1" ref="A1" ca="1">MID(CELL("filename",A1),FIND("]",CELL("filename",A1))+1,31)</f>
        <v>ExpPar2</v>
      </c>
      <c r="B1" s="59" t="s">
        <v>88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  <c r="J2" s="61" t="s">
        <v>102</v>
      </c>
    </row>
    <row r="3" spans="1:10">
      <c r="B3" s="40" t="s">
        <v>0</v>
      </c>
      <c r="C3" s="41" t="s">
        <v>10</v>
      </c>
      <c r="D3" s="42">
        <f>'Creo Input'!E5</f>
        <v>7.9228753543876904E-3</v>
      </c>
      <c r="E3" s="43" t="s">
        <v>31</v>
      </c>
      <c r="G3" s="31" t="s">
        <v>27</v>
      </c>
      <c r="H3" s="32" t="str">
        <f>IF(ISEVEN(D14),"EVEN","ODD")</f>
        <v>EVEN</v>
      </c>
      <c r="J3" s="93">
        <f>IF(D8=G30, D14, H4)</f>
        <v>80</v>
      </c>
    </row>
    <row r="4" spans="1:10">
      <c r="B4" s="44" t="s">
        <v>63</v>
      </c>
      <c r="D4" s="125" t="s">
        <v>1</v>
      </c>
      <c r="E4" s="126"/>
      <c r="G4" s="10" t="s">
        <v>30</v>
      </c>
      <c r="H4" s="12">
        <f>IF(H3="EVEN", D14/2, (D14+1)/2)</f>
        <v>40</v>
      </c>
    </row>
    <row r="5" spans="1:10">
      <c r="B5" s="44" t="s">
        <v>64</v>
      </c>
      <c r="C5" s="4" t="str">
        <f>IF(D4=G22,"𝓁_target", "N")</f>
        <v>N</v>
      </c>
      <c r="D5" s="53">
        <f>RectX!D14</f>
        <v>80</v>
      </c>
      <c r="E5" s="45" t="str">
        <f>IF(D4=G22, "  [m]", "  [   ]")</f>
        <v xml:space="preserve">  [   ]</v>
      </c>
      <c r="G5"/>
    </row>
    <row r="6" spans="1:10">
      <c r="B6" s="44" t="s">
        <v>56</v>
      </c>
      <c r="D6" s="127" t="s">
        <v>5</v>
      </c>
      <c r="E6" s="128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17.627357725525719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25</v>
      </c>
      <c r="E8" s="130"/>
      <c r="G8" s="8" t="s">
        <v>7</v>
      </c>
      <c r="H8" s="6" t="s">
        <v>25</v>
      </c>
      <c r="I8" s="20">
        <f>D3*(1-D11)/(1-D11^D14)</f>
        <v>1.696045103000825E-5</v>
      </c>
      <c r="J8" s="17" t="s">
        <v>31</v>
      </c>
    </row>
    <row r="9" spans="1:10">
      <c r="G9" s="8" t="s">
        <v>6</v>
      </c>
      <c r="H9" s="6" t="s">
        <v>25</v>
      </c>
      <c r="I9" s="20">
        <f>I8*D11^(D14-1)</f>
        <v>2.9896793749221794E-4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D7^(1/(J3-1)))</f>
        <v>1.0369898886543727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D7^(J3-1))</f>
        <v>17.627357725525719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9.9035941929846136E-5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80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>
        <f>IF($H$3="EVEN", D3*(1-D11)/(2*(1-D11^H4)), "")</f>
        <v>4.4736925384894147E-5</v>
      </c>
      <c r="J16" s="17" t="s">
        <v>31</v>
      </c>
    </row>
    <row r="17" spans="2:10">
      <c r="B17" s="15" t="s">
        <v>7</v>
      </c>
      <c r="C17" s="25" t="s">
        <v>13</v>
      </c>
      <c r="D17" s="27" cm="1">
        <f t="array" ref="D17">_xlfn.XLOOKUP($D$8, IF($H$3="EVEN", CHOOSE({1,2,3},H8,H16,H18), CHOOSE({1,2,3},H8,H11,H13)), IF($H$3="EVEN", CHOOSE({1,2,3},I8,I16,I18), CHOOSE({1,2,3},I8,I11,I13)))</f>
        <v>1.696045103000825E-5</v>
      </c>
      <c r="E17" s="28" t="s">
        <v>31</v>
      </c>
      <c r="G17" s="9" t="s">
        <v>20</v>
      </c>
      <c r="H17" s="7" t="s">
        <v>23</v>
      </c>
      <c r="I17" s="21">
        <f>IF($H$3="EVEN", I16*$D$11^($H$4-1), "")</f>
        <v>1.8444737607203546E-4</v>
      </c>
      <c r="J17" s="18" t="s">
        <v>31</v>
      </c>
    </row>
    <row r="18" spans="2:10" ht="15" thickBot="1">
      <c r="B18" s="16" t="s">
        <v>6</v>
      </c>
      <c r="C18" s="26" t="s">
        <v>16</v>
      </c>
      <c r="D18" s="29" cm="1">
        <f t="array" ref="D18">_xlfn.XLOOKUP($D$8, IF($H$3="EVEN", CHOOSE({1,2,3},H9,H17,H19), CHOOSE({1,2,3},H9,H12,H14)), IF($H$3="EVEN", CHOOSE({1,2,3},I9,I17,I19), CHOOSE({1,2,3},I9,I12,I14)))</f>
        <v>2.9896793749221794E-4</v>
      </c>
      <c r="E18" s="30" t="s">
        <v>31</v>
      </c>
      <c r="G18" s="8" t="s">
        <v>18</v>
      </c>
      <c r="H18" s="6" t="s">
        <v>24</v>
      </c>
      <c r="I18" s="20">
        <f>IF($H$3="EVEN", D3*(1-D11)/(2*(1-D11^H4)), "")</f>
        <v>4.4736925384894147E-5</v>
      </c>
      <c r="J18" s="17" t="s">
        <v>31</v>
      </c>
    </row>
    <row r="19" spans="2:10">
      <c r="D19" s="54"/>
      <c r="G19" s="10" t="s">
        <v>20</v>
      </c>
      <c r="H19" s="11" t="s">
        <v>24</v>
      </c>
      <c r="I19" s="22">
        <f>IF($H$3="EVEN", I18*$D$11^($H$4-1), "")</f>
        <v>1.8444737607203546E-4</v>
      </c>
      <c r="J19" s="19" t="s">
        <v>31</v>
      </c>
    </row>
    <row r="20" spans="2:10" ht="15" thickBot="1">
      <c r="B20" s="124" t="s">
        <v>72</v>
      </c>
      <c r="C20" s="124"/>
      <c r="D20" s="124"/>
      <c r="E20" s="124"/>
    </row>
    <row r="21" spans="2:10">
      <c r="B21" s="15" t="s">
        <v>78</v>
      </c>
      <c r="C21" s="25" t="s">
        <v>73</v>
      </c>
      <c r="D21" s="27">
        <f>('Creo Input'!E14)/Rectangle_ZGrid_NDiv</f>
        <v>1.6960448516803891E-5</v>
      </c>
      <c r="E21" s="28" t="s">
        <v>31</v>
      </c>
      <c r="G21" s="35" t="s">
        <v>55</v>
      </c>
    </row>
    <row r="22" spans="2:10" ht="15" thickBot="1">
      <c r="B22" s="16" t="s">
        <v>74</v>
      </c>
      <c r="C22" s="26" t="s">
        <v>16</v>
      </c>
      <c r="D22" s="29">
        <f>ABS(D21-D17)</f>
        <v>2.513204359520186E-12</v>
      </c>
      <c r="E22" s="30" t="s">
        <v>31</v>
      </c>
      <c r="G22" s="36" t="s">
        <v>2</v>
      </c>
    </row>
    <row r="23" spans="2:10" ht="15" thickBot="1">
      <c r="D23" s="54"/>
      <c r="G23" s="37" t="s">
        <v>1</v>
      </c>
    </row>
    <row r="24" spans="2:10" ht="15" thickBot="1">
      <c r="D24" s="54"/>
    </row>
    <row r="25" spans="2:10">
      <c r="D25" s="54"/>
      <c r="G25" s="35" t="s">
        <v>56</v>
      </c>
    </row>
    <row r="26" spans="2:10">
      <c r="D26" s="54"/>
      <c r="G26" s="36" t="s">
        <v>5</v>
      </c>
    </row>
    <row r="27" spans="2:10" ht="15" thickBot="1">
      <c r="G27" s="37" t="s">
        <v>58</v>
      </c>
    </row>
    <row r="29" spans="2:10">
      <c r="G29" s="14" t="s">
        <v>26</v>
      </c>
    </row>
    <row r="30" spans="2:10">
      <c r="G30" s="13" t="s">
        <v>25</v>
      </c>
    </row>
    <row r="31" spans="2:10">
      <c r="G31" s="4" t="s">
        <v>23</v>
      </c>
    </row>
    <row r="32" spans="2:10">
      <c r="G32" s="13" t="s">
        <v>24</v>
      </c>
    </row>
  </sheetData>
  <mergeCells count="9">
    <mergeCell ref="G15:J15"/>
    <mergeCell ref="B16:E16"/>
    <mergeCell ref="B20:E20"/>
    <mergeCell ref="D4:E4"/>
    <mergeCell ref="D6:E6"/>
    <mergeCell ref="G7:J7"/>
    <mergeCell ref="D8:E8"/>
    <mergeCell ref="B10:E10"/>
    <mergeCell ref="G10:J10"/>
  </mergeCells>
  <dataValidations count="3">
    <dataValidation type="list" showErrorMessage="1" sqref="D4:E4" xr:uid="{2F69D3D4-0E93-4193-84FA-16BD14C84FFE}">
      <formula1>$G$22:$G$23</formula1>
    </dataValidation>
    <dataValidation type="list" showErrorMessage="1" sqref="D6:E6" xr:uid="{6DBC634B-BB7B-43A1-8E7B-3586B9C40F35}">
      <formula1>$G$26:$G$27</formula1>
    </dataValidation>
    <dataValidation type="list" showErrorMessage="1" sqref="H16:H19 H8:H9 H11:H14 D8:E8" xr:uid="{AD8ED309-031C-4CA0-9EBE-B3E0BD5511EB}">
      <formula1>$G$30:$G$32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A0E7-F89A-4CC3-B57E-B6B522B67018}">
  <sheetPr codeName="Sheet16">
    <tabColor rgb="FFB43E3E"/>
  </sheetPr>
  <dimension ref="A1:K32"/>
  <sheetViews>
    <sheetView zoomScaleNormal="100" workbookViewId="0">
      <selection activeCell="D5" sqref="D5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92" t="str" cm="1">
        <f t="array" aca="1" ref="A1" ca="1">MID(CELL("filename",A1),FIND("]",CELL("filename",A1))+1,31)</f>
        <v>ExpPar3</v>
      </c>
      <c r="B1" s="59" t="s">
        <v>89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  <c r="J2" s="61" t="s">
        <v>102</v>
      </c>
    </row>
    <row r="3" spans="1:10">
      <c r="B3" s="40" t="s">
        <v>0</v>
      </c>
      <c r="C3" s="41" t="s">
        <v>10</v>
      </c>
      <c r="D3" s="42">
        <f>'Creo Input'!E6</f>
        <v>5.0639867455939003E-3</v>
      </c>
      <c r="E3" s="43" t="s">
        <v>31</v>
      </c>
      <c r="G3" s="31" t="s">
        <v>27</v>
      </c>
      <c r="H3" s="32" t="str">
        <f>IF(ISEVEN(D14),"EVEN","ODD")</f>
        <v>EVEN</v>
      </c>
      <c r="J3" s="93">
        <f>IF(D8=G30, D14, H4)</f>
        <v>80</v>
      </c>
    </row>
    <row r="4" spans="1:10">
      <c r="B4" s="44" t="s">
        <v>63</v>
      </c>
      <c r="D4" s="125" t="s">
        <v>1</v>
      </c>
      <c r="E4" s="126"/>
      <c r="G4" s="10" t="s">
        <v>30</v>
      </c>
      <c r="H4" s="12">
        <f>IF(H3="EVEN", D14/2, (D14+1)/2)</f>
        <v>40</v>
      </c>
    </row>
    <row r="5" spans="1:10">
      <c r="B5" s="44" t="s">
        <v>64</v>
      </c>
      <c r="C5" s="4" t="str">
        <f>IF(D4=G22,"𝓁_target", "N")</f>
        <v>N</v>
      </c>
      <c r="D5" s="53">
        <f>RectX!D14</f>
        <v>80</v>
      </c>
      <c r="E5" s="45" t="str">
        <f>IF(D4=G22, "  [m]", "  [   ]")</f>
        <v xml:space="preserve">  [   ]</v>
      </c>
      <c r="G5"/>
    </row>
    <row r="6" spans="1:10">
      <c r="B6" s="44" t="s">
        <v>56</v>
      </c>
      <c r="D6" s="127" t="s">
        <v>5</v>
      </c>
      <c r="E6" s="128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11.863117995024121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25</v>
      </c>
      <c r="E8" s="130"/>
      <c r="G8" s="8" t="s">
        <v>7</v>
      </c>
      <c r="H8" s="6" t="s">
        <v>25</v>
      </c>
      <c r="I8" s="20">
        <f>D3*(1-D11)/(1-D11^D14)</f>
        <v>1.4328468872117444E-5</v>
      </c>
      <c r="J8" s="17" t="s">
        <v>31</v>
      </c>
    </row>
    <row r="9" spans="1:10">
      <c r="G9" s="8" t="s">
        <v>6</v>
      </c>
      <c r="H9" s="6" t="s">
        <v>25</v>
      </c>
      <c r="I9" s="20">
        <f>I8*D11^(D14-1)</f>
        <v>1.6998031691795872E-4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D7^(1/(J3-1)))</f>
        <v>1.0318045859387954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D7^(J3-1))</f>
        <v>11.863117995024121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6.3299834319923754E-5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80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>
        <f>IF($H$3="EVEN", D3*(1-D11)/(2*(1-D11^H4)), "")</f>
        <v>3.2229247818105459E-5</v>
      </c>
      <c r="J16" s="17" t="s">
        <v>31</v>
      </c>
    </row>
    <row r="17" spans="2:10">
      <c r="B17" s="15" t="s">
        <v>7</v>
      </c>
      <c r="C17" s="25" t="s">
        <v>13</v>
      </c>
      <c r="D17" s="27" cm="1">
        <f t="array" ref="D17">_xlfn.XLOOKUP($D$8, IF($H$3="EVEN", CHOOSE({1,2,3},H8,H16,H18), CHOOSE({1,2,3},H8,H11,H13)), IF($H$3="EVEN", CHOOSE({1,2,3},I8,I16,I18), CHOOSE({1,2,3},I8,I11,I13)))</f>
        <v>1.4328468872117444E-5</v>
      </c>
      <c r="E17" s="28" t="s">
        <v>31</v>
      </c>
      <c r="G17" s="9" t="s">
        <v>20</v>
      </c>
      <c r="H17" s="7" t="s">
        <v>23</v>
      </c>
      <c r="I17" s="21">
        <f>IF($H$3="EVEN", I16*$D$11^($H$4-1), "")</f>
        <v>1.0928256200479334E-4</v>
      </c>
      <c r="J17" s="18" t="s">
        <v>31</v>
      </c>
    </row>
    <row r="18" spans="2:10" ht="15" thickBot="1">
      <c r="B18" s="16" t="s">
        <v>6</v>
      </c>
      <c r="C18" s="26" t="s">
        <v>16</v>
      </c>
      <c r="D18" s="29" cm="1">
        <f t="array" ref="D18">_xlfn.XLOOKUP($D$8, IF($H$3="EVEN", CHOOSE({1,2,3},H9,H17,H19), CHOOSE({1,2,3},H9,H12,H14)), IF($H$3="EVEN", CHOOSE({1,2,3},I9,I17,I19), CHOOSE({1,2,3},I9,I12,I14)))</f>
        <v>1.6998031691795872E-4</v>
      </c>
      <c r="E18" s="30" t="s">
        <v>31</v>
      </c>
      <c r="G18" s="8" t="s">
        <v>18</v>
      </c>
      <c r="H18" s="6" t="s">
        <v>24</v>
      </c>
      <c r="I18" s="20">
        <f>IF($H$3="EVEN", D3*(1-D11)/(2*(1-D11^H4)), "")</f>
        <v>3.2229247818105459E-5</v>
      </c>
      <c r="J18" s="17" t="s">
        <v>31</v>
      </c>
    </row>
    <row r="19" spans="2:10">
      <c r="D19" s="54"/>
      <c r="G19" s="10" t="s">
        <v>20</v>
      </c>
      <c r="H19" s="11" t="s">
        <v>24</v>
      </c>
      <c r="I19" s="22">
        <f>IF($H$3="EVEN", I18*$D$11^($H$4-1), "")</f>
        <v>1.0928256200479334E-4</v>
      </c>
      <c r="J19" s="19" t="s">
        <v>31</v>
      </c>
    </row>
    <row r="20" spans="2:10" ht="15" thickBot="1">
      <c r="B20" s="124" t="s">
        <v>72</v>
      </c>
      <c r="C20" s="124"/>
      <c r="D20" s="124"/>
      <c r="E20" s="124"/>
    </row>
    <row r="21" spans="2:10">
      <c r="B21" s="15" t="s">
        <v>78</v>
      </c>
      <c r="C21" s="25" t="s">
        <v>73</v>
      </c>
      <c r="D21" s="27">
        <f>('Creo Input'!E15)/Rectangle_ZGrid_NDiv</f>
        <v>1.4328464144543335E-5</v>
      </c>
      <c r="E21" s="28" t="s">
        <v>31</v>
      </c>
      <c r="G21" s="35" t="s">
        <v>55</v>
      </c>
    </row>
    <row r="22" spans="2:10" ht="15" thickBot="1">
      <c r="B22" s="16" t="s">
        <v>74</v>
      </c>
      <c r="C22" s="26" t="s">
        <v>16</v>
      </c>
      <c r="D22" s="29">
        <f>ABS(D21-D17)</f>
        <v>4.7275741095031531E-12</v>
      </c>
      <c r="E22" s="30" t="s">
        <v>31</v>
      </c>
      <c r="G22" s="36" t="s">
        <v>2</v>
      </c>
    </row>
    <row r="23" spans="2:10" ht="15" thickBot="1">
      <c r="D23" s="54"/>
      <c r="G23" s="37" t="s">
        <v>1</v>
      </c>
    </row>
    <row r="24" spans="2:10" ht="15" thickBot="1">
      <c r="D24" s="54"/>
    </row>
    <row r="25" spans="2:10">
      <c r="D25" s="54"/>
      <c r="G25" s="35" t="s">
        <v>56</v>
      </c>
    </row>
    <row r="26" spans="2:10">
      <c r="D26" s="54"/>
      <c r="G26" s="36" t="s">
        <v>5</v>
      </c>
    </row>
    <row r="27" spans="2:10" ht="15" thickBot="1">
      <c r="G27" s="37" t="s">
        <v>58</v>
      </c>
    </row>
    <row r="29" spans="2:10">
      <c r="G29" s="14" t="s">
        <v>26</v>
      </c>
    </row>
    <row r="30" spans="2:10">
      <c r="G30" s="13" t="s">
        <v>25</v>
      </c>
    </row>
    <row r="31" spans="2:10">
      <c r="G31" s="4" t="s">
        <v>23</v>
      </c>
    </row>
    <row r="32" spans="2:10">
      <c r="G32" s="13" t="s">
        <v>24</v>
      </c>
    </row>
  </sheetData>
  <mergeCells count="9">
    <mergeCell ref="G15:J15"/>
    <mergeCell ref="B16:E16"/>
    <mergeCell ref="B20:E20"/>
    <mergeCell ref="D4:E4"/>
    <mergeCell ref="D6:E6"/>
    <mergeCell ref="G7:J7"/>
    <mergeCell ref="D8:E8"/>
    <mergeCell ref="B10:E10"/>
    <mergeCell ref="G10:J10"/>
  </mergeCells>
  <dataValidations count="3">
    <dataValidation type="list" showErrorMessage="1" sqref="D4:E4" xr:uid="{D73D7544-513D-4A74-89CD-228237946784}">
      <formula1>$G$22:$G$23</formula1>
    </dataValidation>
    <dataValidation type="list" showErrorMessage="1" sqref="D6:E6" xr:uid="{E3FD9087-36B2-4D35-8771-9D65E8436764}">
      <formula1>$G$26:$G$27</formula1>
    </dataValidation>
    <dataValidation type="list" showErrorMessage="1" sqref="H16:H19 H8:H9 H11:H14 D8:E8" xr:uid="{34012215-378D-4B96-9DDE-F15C6D944E49}">
      <formula1>$G$30:$G$32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F297-50E6-44C7-969C-2BA74C1B6B55}">
  <sheetPr codeName="Sheet17">
    <tabColor rgb="FFB43E3E"/>
  </sheetPr>
  <dimension ref="A1:K32"/>
  <sheetViews>
    <sheetView zoomScaleNormal="100" workbookViewId="0">
      <selection activeCell="D5" sqref="D5"/>
    </sheetView>
  </sheetViews>
  <sheetFormatPr defaultRowHeight="14.5"/>
  <cols>
    <col min="1" max="1" width="10.81640625" bestFit="1" customWidth="1"/>
    <col min="2" max="2" width="30.7265625" style="1" customWidth="1"/>
    <col min="3" max="3" width="10.81640625" style="4" customWidth="1"/>
    <col min="4" max="4" width="13.7265625" customWidth="1"/>
    <col min="6" max="6" width="5.90625" customWidth="1"/>
    <col min="7" max="7" width="30.6328125" style="1" customWidth="1"/>
    <col min="8" max="8" width="13" customWidth="1"/>
    <col min="9" max="9" width="14.6328125" customWidth="1"/>
    <col min="10" max="10" width="16.90625" customWidth="1"/>
    <col min="11" max="11" width="6.453125" style="34" customWidth="1"/>
    <col min="12" max="12" width="25" customWidth="1"/>
  </cols>
  <sheetData>
    <row r="1" spans="1:10">
      <c r="A1" s="92" t="str" cm="1">
        <f t="array" aca="1" ref="A1" ca="1">MID(CELL("filename",A1),FIND("]",CELL("filename",A1))+1,31)</f>
        <v>ExpPar4</v>
      </c>
      <c r="B1" s="59" t="s">
        <v>90</v>
      </c>
    </row>
    <row r="2" spans="1:10" ht="15" thickBot="1">
      <c r="B2" s="3" t="s">
        <v>62</v>
      </c>
      <c r="C2" s="5" t="s">
        <v>9</v>
      </c>
      <c r="D2" s="2" t="s">
        <v>4</v>
      </c>
      <c r="E2" s="2" t="s">
        <v>3</v>
      </c>
      <c r="F2" s="2"/>
      <c r="G2" s="24" t="s">
        <v>34</v>
      </c>
      <c r="J2" s="61" t="s">
        <v>102</v>
      </c>
    </row>
    <row r="3" spans="1:10">
      <c r="B3" s="40" t="s">
        <v>0</v>
      </c>
      <c r="C3" s="41" t="s">
        <v>10</v>
      </c>
      <c r="D3" s="42">
        <f>'Creo Input'!E7</f>
        <v>3.87706825262E-3</v>
      </c>
      <c r="E3" s="43" t="s">
        <v>31</v>
      </c>
      <c r="G3" s="31" t="s">
        <v>27</v>
      </c>
      <c r="H3" s="32" t="str">
        <f>IF(ISEVEN(D14),"EVEN","ODD")</f>
        <v>EVEN</v>
      </c>
      <c r="J3" s="93">
        <f>IF(D8=G30, D14, H4)</f>
        <v>80</v>
      </c>
    </row>
    <row r="4" spans="1:10">
      <c r="B4" s="44" t="s">
        <v>63</v>
      </c>
      <c r="D4" s="125" t="s">
        <v>1</v>
      </c>
      <c r="E4" s="126"/>
      <c r="G4" s="10" t="s">
        <v>30</v>
      </c>
      <c r="H4" s="12">
        <f>IF(H3="EVEN", D14/2, (D14+1)/2)</f>
        <v>40</v>
      </c>
    </row>
    <row r="5" spans="1:10">
      <c r="B5" s="44" t="s">
        <v>64</v>
      </c>
      <c r="C5" s="4" t="str">
        <f>IF(D4=G22,"𝓁_target", "N")</f>
        <v>N</v>
      </c>
      <c r="D5" s="53">
        <f>RectX!D14</f>
        <v>80</v>
      </c>
      <c r="E5" s="45" t="str">
        <f>IF(D4=G22, "  [m]", "  [   ]")</f>
        <v xml:space="preserve">  [   ]</v>
      </c>
      <c r="G5"/>
    </row>
    <row r="6" spans="1:10">
      <c r="B6" s="44" t="s">
        <v>56</v>
      </c>
      <c r="D6" s="127" t="s">
        <v>5</v>
      </c>
      <c r="E6" s="128"/>
      <c r="G6" s="23" t="s">
        <v>33</v>
      </c>
    </row>
    <row r="7" spans="1:10">
      <c r="B7" s="44" t="s">
        <v>57</v>
      </c>
      <c r="C7" s="4" t="str">
        <f>IF(D6=G26, "B", "r")</f>
        <v>B</v>
      </c>
      <c r="D7" s="38">
        <v>9.918350950974423</v>
      </c>
      <c r="E7" s="45" t="s">
        <v>32</v>
      </c>
      <c r="G7" s="135" t="s">
        <v>8</v>
      </c>
      <c r="H7" s="136"/>
      <c r="I7" s="136"/>
      <c r="J7" s="137"/>
    </row>
    <row r="8" spans="1:10" ht="15" thickBot="1">
      <c r="B8" s="47" t="s">
        <v>22</v>
      </c>
      <c r="C8" s="48"/>
      <c r="D8" s="129" t="s">
        <v>25</v>
      </c>
      <c r="E8" s="130"/>
      <c r="G8" s="8" t="s">
        <v>7</v>
      </c>
      <c r="H8" s="6" t="s">
        <v>25</v>
      </c>
      <c r="I8" s="20">
        <f>D3*(1-D11)/(1-D11^D14)</f>
        <v>1.2404388858734634E-5</v>
      </c>
      <c r="J8" s="17" t="s">
        <v>31</v>
      </c>
    </row>
    <row r="9" spans="1:10">
      <c r="G9" s="8" t="s">
        <v>6</v>
      </c>
      <c r="H9" s="6" t="s">
        <v>25</v>
      </c>
      <c r="I9" s="20">
        <f>I8*D11^(D14-1)</f>
        <v>1.2303108203328615E-4</v>
      </c>
      <c r="J9" s="17" t="s">
        <v>31</v>
      </c>
    </row>
    <row r="10" spans="1:10" ht="15" thickBot="1">
      <c r="B10" s="131" t="s">
        <v>59</v>
      </c>
      <c r="C10" s="131"/>
      <c r="D10" s="131"/>
      <c r="E10" s="131"/>
      <c r="G10" s="132" t="s">
        <v>28</v>
      </c>
      <c r="H10" s="133"/>
      <c r="I10" s="133"/>
      <c r="J10" s="134"/>
    </row>
    <row r="11" spans="1:10">
      <c r="B11" s="40" t="s">
        <v>21</v>
      </c>
      <c r="C11" s="41" t="s">
        <v>12</v>
      </c>
      <c r="D11" s="49">
        <f>IF(D6=G27, D7, D7^(1/(J3-1)))</f>
        <v>1.0294687261067428</v>
      </c>
      <c r="E11" s="50" t="s">
        <v>32</v>
      </c>
      <c r="G11" s="8" t="s">
        <v>17</v>
      </c>
      <c r="H11" s="6" t="s">
        <v>23</v>
      </c>
      <c r="I11" s="20" t="str">
        <f>IF(H3="ODD", D3*(1-D11)/(1+D11-2*D11^H4), "")</f>
        <v/>
      </c>
      <c r="J11" s="17" t="s">
        <v>31</v>
      </c>
    </row>
    <row r="12" spans="1:10">
      <c r="B12" s="44" t="s">
        <v>5</v>
      </c>
      <c r="C12" s="4" t="s">
        <v>11</v>
      </c>
      <c r="D12" s="55">
        <f>IF(D6=G26, D7, D7^(J3-1))</f>
        <v>9.918350950974423</v>
      </c>
      <c r="E12" s="46" t="s">
        <v>32</v>
      </c>
      <c r="G12" s="9" t="s">
        <v>19</v>
      </c>
      <c r="H12" s="7" t="s">
        <v>23</v>
      </c>
      <c r="I12" s="21" t="str">
        <f>IF($H$3="ODD", I11*$D$11^($H$4-1), "")</f>
        <v/>
      </c>
      <c r="J12" s="18" t="s">
        <v>31</v>
      </c>
    </row>
    <row r="13" spans="1:10">
      <c r="B13" s="44" t="s">
        <v>2</v>
      </c>
      <c r="C13" s="4" t="s">
        <v>14</v>
      </c>
      <c r="D13" s="39">
        <f>IF(D4=G22, D5, D3/D5)</f>
        <v>4.8463353157749999E-5</v>
      </c>
      <c r="E13" s="46" t="s">
        <v>31</v>
      </c>
      <c r="G13" s="8" t="s">
        <v>17</v>
      </c>
      <c r="H13" s="6" t="s">
        <v>24</v>
      </c>
      <c r="I13" s="20" t="str">
        <f>IF($H$3="ODD", D3*(1-D11)/(2-D11^H4-D11^(H4-1)), "")</f>
        <v/>
      </c>
      <c r="J13" s="17" t="s">
        <v>31</v>
      </c>
    </row>
    <row r="14" spans="1:10" ht="15" thickBot="1">
      <c r="B14" s="47" t="s">
        <v>1</v>
      </c>
      <c r="C14" s="48" t="s">
        <v>15</v>
      </c>
      <c r="D14" s="51">
        <f>IF(D4=G23, D5, _xlfn.CEILING.MATH(D3/D5))</f>
        <v>80</v>
      </c>
      <c r="E14" s="52" t="s">
        <v>32</v>
      </c>
      <c r="G14" s="8" t="s">
        <v>19</v>
      </c>
      <c r="H14" s="6" t="s">
        <v>24</v>
      </c>
      <c r="I14" s="20" t="str">
        <f>IF($H$3="ODD", I13*$D$11^($H$4-1), "")</f>
        <v/>
      </c>
      <c r="J14" s="17" t="s">
        <v>31</v>
      </c>
    </row>
    <row r="15" spans="1:10">
      <c r="G15" s="132" t="s">
        <v>29</v>
      </c>
      <c r="H15" s="133"/>
      <c r="I15" s="133"/>
      <c r="J15" s="134"/>
    </row>
    <row r="16" spans="1:10" ht="15" thickBot="1">
      <c r="B16" s="124" t="s">
        <v>60</v>
      </c>
      <c r="C16" s="124"/>
      <c r="D16" s="124"/>
      <c r="E16" s="124"/>
      <c r="G16" s="8" t="s">
        <v>18</v>
      </c>
      <c r="H16" s="6" t="s">
        <v>23</v>
      </c>
      <c r="I16" s="20">
        <f>IF($H$3="EVEN", D3*(1-D11)/(2*(1-D11^H4)), "")</f>
        <v>2.6020735963593262E-5</v>
      </c>
      <c r="J16" s="17" t="s">
        <v>31</v>
      </c>
    </row>
    <row r="17" spans="2:10">
      <c r="B17" s="15" t="s">
        <v>7</v>
      </c>
      <c r="C17" s="25" t="s">
        <v>13</v>
      </c>
      <c r="D17" s="27" cm="1">
        <f t="array" ref="D17">_xlfn.XLOOKUP($D$8, IF($H$3="EVEN", CHOOSE({1,2,3},H8,H16,H18), CHOOSE({1,2,3},H8,H11,H13)), IF($H$3="EVEN", CHOOSE({1,2,3},I8,I16,I18), CHOOSE({1,2,3},I8,I11,I13)))</f>
        <v>1.2404388858734634E-5</v>
      </c>
      <c r="E17" s="28" t="s">
        <v>31</v>
      </c>
      <c r="G17" s="9" t="s">
        <v>20</v>
      </c>
      <c r="H17" s="7" t="s">
        <v>23</v>
      </c>
      <c r="I17" s="21">
        <f>IF($H$3="EVEN", I16*$D$11^($H$4-1), "")</f>
        <v>8.0766773260652997E-5</v>
      </c>
      <c r="J17" s="18" t="s">
        <v>31</v>
      </c>
    </row>
    <row r="18" spans="2:10" ht="15" thickBot="1">
      <c r="B18" s="16" t="s">
        <v>6</v>
      </c>
      <c r="C18" s="26" t="s">
        <v>16</v>
      </c>
      <c r="D18" s="29" cm="1">
        <f t="array" ref="D18">_xlfn.XLOOKUP($D$8, IF($H$3="EVEN", CHOOSE({1,2,3},H9,H17,H19), CHOOSE({1,2,3},H9,H12,H14)), IF($H$3="EVEN", CHOOSE({1,2,3},I9,I17,I19), CHOOSE({1,2,3},I9,I12,I14)))</f>
        <v>1.2303108203328615E-4</v>
      </c>
      <c r="E18" s="30" t="s">
        <v>31</v>
      </c>
      <c r="G18" s="8" t="s">
        <v>18</v>
      </c>
      <c r="H18" s="6" t="s">
        <v>24</v>
      </c>
      <c r="I18" s="20">
        <f>IF($H$3="EVEN", D3*(1-D11)/(2*(1-D11^H4)), "")</f>
        <v>2.6020735963593262E-5</v>
      </c>
      <c r="J18" s="17" t="s">
        <v>31</v>
      </c>
    </row>
    <row r="19" spans="2:10">
      <c r="D19" s="54"/>
      <c r="G19" s="10" t="s">
        <v>20</v>
      </c>
      <c r="H19" s="11" t="s">
        <v>24</v>
      </c>
      <c r="I19" s="22">
        <f>IF($H$3="EVEN", I18*$D$11^($H$4-1), "")</f>
        <v>8.0766773260652997E-5</v>
      </c>
      <c r="J19" s="19" t="s">
        <v>31</v>
      </c>
    </row>
    <row r="20" spans="2:10" ht="15" thickBot="1">
      <c r="B20" s="124" t="s">
        <v>72</v>
      </c>
      <c r="C20" s="124"/>
      <c r="D20" s="124"/>
      <c r="E20" s="124"/>
    </row>
    <row r="21" spans="2:10">
      <c r="B21" s="15" t="s">
        <v>78</v>
      </c>
      <c r="C21" s="25" t="s">
        <v>73</v>
      </c>
      <c r="D21" s="27">
        <f>('Creo Input'!E16)/Rectangle_ZGrid_NDiv</f>
        <v>1.2404388806776112E-5</v>
      </c>
      <c r="E21" s="28" t="s">
        <v>31</v>
      </c>
      <c r="G21" s="35" t="s">
        <v>55</v>
      </c>
    </row>
    <row r="22" spans="2:10" ht="15" thickBot="1">
      <c r="B22" s="16" t="s">
        <v>74</v>
      </c>
      <c r="C22" s="26" t="s">
        <v>16</v>
      </c>
      <c r="D22" s="29">
        <f>ABS(D21-D17)</f>
        <v>5.1958522255752052E-14</v>
      </c>
      <c r="E22" s="30" t="s">
        <v>31</v>
      </c>
      <c r="G22" s="36" t="s">
        <v>2</v>
      </c>
    </row>
    <row r="23" spans="2:10" ht="15" thickBot="1">
      <c r="D23" s="54"/>
      <c r="G23" s="37" t="s">
        <v>1</v>
      </c>
    </row>
    <row r="24" spans="2:10" ht="15" thickBot="1">
      <c r="D24" s="54"/>
    </row>
    <row r="25" spans="2:10">
      <c r="D25" s="54"/>
      <c r="G25" s="35" t="s">
        <v>56</v>
      </c>
    </row>
    <row r="26" spans="2:10">
      <c r="D26" s="54"/>
      <c r="G26" s="36" t="s">
        <v>5</v>
      </c>
    </row>
    <row r="27" spans="2:10" ht="15" thickBot="1">
      <c r="G27" s="37" t="s">
        <v>58</v>
      </c>
    </row>
    <row r="29" spans="2:10">
      <c r="G29" s="14" t="s">
        <v>26</v>
      </c>
    </row>
    <row r="30" spans="2:10">
      <c r="G30" s="13" t="s">
        <v>25</v>
      </c>
    </row>
    <row r="31" spans="2:10">
      <c r="G31" s="4" t="s">
        <v>23</v>
      </c>
    </row>
    <row r="32" spans="2:10">
      <c r="G32" s="13" t="s">
        <v>24</v>
      </c>
    </row>
  </sheetData>
  <mergeCells count="9">
    <mergeCell ref="G15:J15"/>
    <mergeCell ref="B16:E16"/>
    <mergeCell ref="B20:E20"/>
    <mergeCell ref="D4:E4"/>
    <mergeCell ref="D6:E6"/>
    <mergeCell ref="G7:J7"/>
    <mergeCell ref="D8:E8"/>
    <mergeCell ref="B10:E10"/>
    <mergeCell ref="G10:J10"/>
  </mergeCells>
  <dataValidations count="3">
    <dataValidation type="list" showErrorMessage="1" sqref="D4:E4" xr:uid="{38F3A91F-E549-467A-8C03-73841EF90A23}">
      <formula1>$G$22:$G$23</formula1>
    </dataValidation>
    <dataValidation type="list" showErrorMessage="1" sqref="D6:E6" xr:uid="{5B4B436F-44B1-42C3-A180-CCC19A7D7952}">
      <formula1>$G$26:$G$27</formula1>
    </dataValidation>
    <dataValidation type="list" showErrorMessage="1" sqref="H16:H19 H8:H9 H11:H14 D8:E8" xr:uid="{EC765CED-AEAF-4738-A438-0D8A5F213EBD}">
      <formula1>$G$30:$G$32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4E328A-9B65-462F-9710-AD96F7C73D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61</vt:i4>
      </vt:variant>
    </vt:vector>
  </HeadingPairs>
  <TitlesOfParts>
    <vt:vector size="79" baseType="lpstr">
      <vt:lpstr>Creo Input</vt:lpstr>
      <vt:lpstr>WB Output</vt:lpstr>
      <vt:lpstr>RectX</vt:lpstr>
      <vt:lpstr>RectY</vt:lpstr>
      <vt:lpstr>RectZ</vt:lpstr>
      <vt:lpstr>IOX</vt:lpstr>
      <vt:lpstr>ExpSpl</vt:lpstr>
      <vt:lpstr>ExpY</vt:lpstr>
      <vt:lpstr>IOZ</vt:lpstr>
      <vt:lpstr>ExpSpl1</vt:lpstr>
      <vt:lpstr>ExpSpl2</vt:lpstr>
      <vt:lpstr>ExpSpl3</vt:lpstr>
      <vt:lpstr>ExpSpl4</vt:lpstr>
      <vt:lpstr>ExpSpl5</vt:lpstr>
      <vt:lpstr>ExpPar1</vt:lpstr>
      <vt:lpstr>ExpPar2</vt:lpstr>
      <vt:lpstr>ExpPar3</vt:lpstr>
      <vt:lpstr>ExpPar4</vt:lpstr>
      <vt:lpstr>ExpPar1!Expansion_SplineGrid_BF</vt:lpstr>
      <vt:lpstr>ExpPar2!Expansion_SplineGrid_BF</vt:lpstr>
      <vt:lpstr>ExpPar3!Expansion_SplineGrid_BF</vt:lpstr>
      <vt:lpstr>ExpPar4!Expansion_SplineGrid_BF</vt:lpstr>
      <vt:lpstr>ExpSpl1!Expansion_SplineGrid_BF</vt:lpstr>
      <vt:lpstr>ExpSpl2!Expansion_SplineGrid_BF</vt:lpstr>
      <vt:lpstr>ExpSpl3!Expansion_SplineGrid_BF</vt:lpstr>
      <vt:lpstr>ExpSpl4!Expansion_SplineGrid_BF</vt:lpstr>
      <vt:lpstr>ExpSpl5!Expansion_SplineGrid_BF</vt:lpstr>
      <vt:lpstr>Expansion_SplineGrid_BF</vt:lpstr>
      <vt:lpstr>ExpPar1!Expansion_SplineGrid_EdgeLength</vt:lpstr>
      <vt:lpstr>ExpPar2!Expansion_SplineGrid_EdgeLength</vt:lpstr>
      <vt:lpstr>ExpPar3!Expansion_SplineGrid_EdgeLength</vt:lpstr>
      <vt:lpstr>ExpPar4!Expansion_SplineGrid_EdgeLength</vt:lpstr>
      <vt:lpstr>ExpSpl1!Expansion_SplineGrid_EdgeLength</vt:lpstr>
      <vt:lpstr>ExpSpl2!Expansion_SplineGrid_EdgeLength</vt:lpstr>
      <vt:lpstr>ExpSpl3!Expansion_SplineGrid_EdgeLength</vt:lpstr>
      <vt:lpstr>ExpSpl4!Expansion_SplineGrid_EdgeLength</vt:lpstr>
      <vt:lpstr>ExpSpl5!Expansion_SplineGrid_EdgeLength</vt:lpstr>
      <vt:lpstr>Expansion_SplineGrid_EdgeLength</vt:lpstr>
      <vt:lpstr>ExpPar1!Expansion_SplineGrid_NDiv</vt:lpstr>
      <vt:lpstr>ExpPar2!Expansion_SplineGrid_NDiv</vt:lpstr>
      <vt:lpstr>ExpPar3!Expansion_SplineGrid_NDiv</vt:lpstr>
      <vt:lpstr>ExpPar4!Expansion_SplineGrid_NDiv</vt:lpstr>
      <vt:lpstr>ExpSpl1!Expansion_SplineGrid_NDiv</vt:lpstr>
      <vt:lpstr>ExpSpl2!Expansion_SplineGrid_NDiv</vt:lpstr>
      <vt:lpstr>ExpSpl3!Expansion_SplineGrid_NDiv</vt:lpstr>
      <vt:lpstr>ExpSpl4!Expansion_SplineGrid_NDiv</vt:lpstr>
      <vt:lpstr>ExpSpl5!Expansion_SplineGrid_NDiv</vt:lpstr>
      <vt:lpstr>Expansion_SplineGrid_NDiv</vt:lpstr>
      <vt:lpstr>Expansion_YGrid_BF</vt:lpstr>
      <vt:lpstr>Expansion_YGrid_EdgeLength</vt:lpstr>
      <vt:lpstr>Expansion_YGrid_NDiv</vt:lpstr>
      <vt:lpstr>IO_XGrid_BF</vt:lpstr>
      <vt:lpstr>IO_XGrid_EdgeLength</vt:lpstr>
      <vt:lpstr>IO_XGrid_NDiv</vt:lpstr>
      <vt:lpstr>IO_ZGrid_BF</vt:lpstr>
      <vt:lpstr>IO_ZGrid_EdgeLength</vt:lpstr>
      <vt:lpstr>IO_ZGrid_NDiv</vt:lpstr>
      <vt:lpstr>Rect_Exp_Boundary_ElementSize</vt:lpstr>
      <vt:lpstr>ExpPar1!Rect_Exp_Boundary_ElementSize2</vt:lpstr>
      <vt:lpstr>ExpPar2!Rect_Exp_Boundary_ElementSize2</vt:lpstr>
      <vt:lpstr>ExpPar3!Rect_Exp_Boundary_ElementSize2</vt:lpstr>
      <vt:lpstr>ExpPar4!Rect_Exp_Boundary_ElementSize2</vt:lpstr>
      <vt:lpstr>ExpSpl1!Rect_Exp_Boundary_ElementSize2</vt:lpstr>
      <vt:lpstr>ExpSpl2!Rect_Exp_Boundary_ElementSize2</vt:lpstr>
      <vt:lpstr>ExpSpl3!Rect_Exp_Boundary_ElementSize2</vt:lpstr>
      <vt:lpstr>ExpSpl4!Rect_Exp_Boundary_ElementSize2</vt:lpstr>
      <vt:lpstr>ExpSpl5!Rect_Exp_Boundary_ElementSize2</vt:lpstr>
      <vt:lpstr>Rect_Exp_Boundary_ElementSize2</vt:lpstr>
      <vt:lpstr>Rectangle_XGrid_BF</vt:lpstr>
      <vt:lpstr>Rectangle_XGrid_EdgeLength</vt:lpstr>
      <vt:lpstr>Rectangle_XGrid_NDiv</vt:lpstr>
      <vt:lpstr>Rectangle_YGrid_BF</vt:lpstr>
      <vt:lpstr>Rectangle_YGrid_EdgeLength</vt:lpstr>
      <vt:lpstr>Rectangle_YGrid_NDiv</vt:lpstr>
      <vt:lpstr>Rectangle_ZGrid_BF</vt:lpstr>
      <vt:lpstr>Rectangle_ZGrid_EdgeLength</vt:lpstr>
      <vt:lpstr>Rectangle_ZGrid_NDiv</vt:lpstr>
      <vt:lpstr>Round_Exp_Boundary_ElementSize</vt:lpstr>
      <vt:lpstr>Round_Rect_Boundary_ElementSize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</dc:creator>
  <cp:lastModifiedBy>Hughes, Sean</cp:lastModifiedBy>
  <dcterms:created xsi:type="dcterms:W3CDTF">2015-06-05T18:17:20Z</dcterms:created>
  <dcterms:modified xsi:type="dcterms:W3CDTF">2026-05-11T21:43:45Z</dcterms:modified>
</cp:coreProperties>
</file>